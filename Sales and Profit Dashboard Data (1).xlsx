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R NIRANJAN\Desktop\"/>
    </mc:Choice>
  </mc:AlternateContent>
  <bookViews>
    <workbookView xWindow="0" yWindow="0" windowWidth="19200" windowHeight="7300" activeTab="3"/>
  </bookViews>
  <sheets>
    <sheet name="Sheet1" sheetId="1" r:id="rId1"/>
    <sheet name="Sheet5" sheetId="5" r:id="rId2"/>
    <sheet name="Pivot tables" sheetId="2" r:id="rId3"/>
    <sheet name="Dashboard" sheetId="3" r:id="rId4"/>
  </sheets>
  <definedNames>
    <definedName name="_xlnm._FilterDatabase" localSheetId="0" hidden="1">Sheet1!$A$1:$K$8315</definedName>
    <definedName name="Slicer_Category">#N/A</definedName>
    <definedName name="Slicer_Month">#N/A</definedName>
    <definedName name="Slicer_Year">#N/A</definedName>
  </definedNames>
  <calcPr calcId="152511"/>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5" l="1"/>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 i="5"/>
  <c r="H6" i="5"/>
  <c r="H7" i="5"/>
  <c r="H8" i="5"/>
  <c r="H9" i="5"/>
  <c r="H10" i="5"/>
  <c r="I4" i="5"/>
  <c r="H4" i="5"/>
  <c r="M6" i="2"/>
  <c r="M7" i="2"/>
  <c r="M8" i="2"/>
  <c r="M9" i="2"/>
  <c r="M10" i="2"/>
  <c r="M11" i="2"/>
  <c r="M12" i="2"/>
  <c r="M13" i="2"/>
  <c r="M14" i="2"/>
  <c r="M15" i="2"/>
  <c r="M16" i="2"/>
  <c r="M17" i="2"/>
  <c r="M18" i="2"/>
  <c r="M19" i="2"/>
  <c r="M20" i="2"/>
  <c r="M21" i="2"/>
  <c r="M5" i="2"/>
  <c r="N20" i="2"/>
  <c r="N9" i="2"/>
  <c r="N16" i="2"/>
  <c r="N13" i="2"/>
  <c r="N8" i="2"/>
  <c r="N21" i="2"/>
  <c r="N6" i="2"/>
  <c r="N14" i="2"/>
  <c r="N15" i="2"/>
  <c r="N17" i="2"/>
  <c r="N18" i="2"/>
  <c r="N11" i="2"/>
  <c r="N12" i="2"/>
  <c r="N7" i="2"/>
  <c r="N10" i="2"/>
  <c r="N19" i="2"/>
  <c r="N5" i="2"/>
  <c r="B12" i="2"/>
  <c r="B11" i="2"/>
</calcChain>
</file>

<file path=xl/sharedStrings.xml><?xml version="1.0" encoding="utf-8"?>
<sst xmlns="http://schemas.openxmlformats.org/spreadsheetml/2006/main" count="50807" uniqueCount="2725">
  <si>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</si>
  <si>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</si>
  <si>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</si>
  <si>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</si>
  <si>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</si>
  <si>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</si>
  <si>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</si>
  <si>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</si>
  <si>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</si>
  <si>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</si>
  <si>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</si>
  <si>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</si>
  <si>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</si>
  <si>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</si>
  <si>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</si>
  <si>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</si>
  <si>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</si>
  <si>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</si>
  <si>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</si>
  <si>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</si>
  <si>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</si>
  <si>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</si>
  <si>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</si>
  <si>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</si>
  <si>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</si>
  <si>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</si>
  <si>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</si>
  <si>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</si>
  <si>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</si>
  <si>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</si>
  <si>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</si>
  <si>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</si>
  <si>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</si>
  <si>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</si>
  <si>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</si>
  <si>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</si>
  <si>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</si>
  <si>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</si>
  <si>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</si>
  <si>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</si>
  <si>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</si>
  <si>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</si>
  <si>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</si>
  <si>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</si>
  <si>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</si>
  <si>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</si>
  <si>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</si>
  <si>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</si>
  <si>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</si>
  <si>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</si>
  <si>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</si>
  <si>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</si>
  <si>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</si>
  <si>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</si>
  <si>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</si>
  <si>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</si>
  <si>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</si>
  <si>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</si>
  <si>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</si>
  <si>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</si>
  <si>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</si>
  <si>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</si>
  <si>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</si>
  <si>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</si>
  <si>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</si>
  <si>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</si>
  <si>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</si>
  <si>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</si>
  <si>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</si>
  <si>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</si>
  <si>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</si>
  <si>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</si>
  <si>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</si>
  <si>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</si>
  <si>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</si>
  <si>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</si>
  <si>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</si>
  <si>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</si>
  <si>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</si>
  <si>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</si>
  <si>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</si>
  <si>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</si>
  <si>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</si>
  <si>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</si>
  <si>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</si>
  <si>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</si>
  <si>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</si>
  <si>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</si>
  <si>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</si>
  <si>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</si>
  <si>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</si>
  <si>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</si>
  <si>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</si>
  <si>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</si>
  <si>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</si>
  <si>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</si>
  <si>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</si>
  <si>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</si>
  <si>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</si>
  <si>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</si>
  <si>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</si>
  <si>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</si>
  <si>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</si>
  <si>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</si>
  <si>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</si>
  <si>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</si>
  <si>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</si>
  <si>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</si>
  <si>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</si>
  <si>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</si>
  <si>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</si>
  <si>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</si>
  <si>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</si>
  <si>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</si>
  <si>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</si>
  <si>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</si>
  <si>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</si>
  <si>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</si>
  <si>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</si>
  <si>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</si>
  <si>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</si>
  <si>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</si>
  <si>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</si>
  <si>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</si>
  <si>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</si>
  <si>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</si>
  <si>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</si>
  <si>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</si>
  <si>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</si>
  <si>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</si>
  <si>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</si>
  <si>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</si>
  <si>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</si>
  <si>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</si>
  <si>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</si>
  <si>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</si>
  <si>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</si>
  <si>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</si>
  <si>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</si>
  <si>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</si>
  <si>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</si>
  <si>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</si>
  <si>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</si>
  <si>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</si>
  <si>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</si>
  <si>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</si>
  <si>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</si>
  <si>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</si>
  <si>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</si>
  <si>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</si>
  <si>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</si>
  <si>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</si>
  <si>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</si>
  <si>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</si>
  <si>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</si>
  <si>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</si>
  <si>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</si>
  <si>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</si>
  <si>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</si>
  <si>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</si>
  <si>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</si>
  <si>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</si>
  <si>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</si>
  <si>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</si>
  <si>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</si>
  <si>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</si>
  <si>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</si>
  <si>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</si>
  <si>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</si>
  <si>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</si>
  <si>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</si>
  <si>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</si>
  <si>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</si>
  <si>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</si>
  <si>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</si>
  <si>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</si>
  <si>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</si>
  <si>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</si>
  <si>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</si>
  <si>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</si>
  <si>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</si>
  <si>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</si>
  <si>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</si>
  <si>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</si>
  <si>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</si>
  <si>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</si>
  <si>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</si>
  <si>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</si>
  <si>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</si>
  <si>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</si>
  <si>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</si>
  <si>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</si>
  <si>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</si>
  <si>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</si>
  <si>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</si>
  <si>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</si>
  <si>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</si>
  <si>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</si>
  <si>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</si>
  <si>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</si>
  <si>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</si>
  <si>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</si>
  <si>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</si>
  <si>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</si>
  <si>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</si>
  <si>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</si>
  <si>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</si>
  <si>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</si>
  <si>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</si>
  <si>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</si>
  <si>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</si>
  <si>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</si>
  <si>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</si>
  <si>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</si>
  <si>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</si>
  <si>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</si>
  <si>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</si>
  <si>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</si>
  <si>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</si>
  <si>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</si>
  <si>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</si>
  <si>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</si>
  <si>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</si>
  <si>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</si>
  <si>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</si>
  <si>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</si>
  <si>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</si>
  <si>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</si>
  <si>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</si>
  <si>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</si>
  <si>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</si>
  <si>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</si>
  <si>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</si>
  <si>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</si>
  <si>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</si>
  <si>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</si>
  <si>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</si>
  <si>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</si>
  <si>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</si>
  <si>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</si>
  <si>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</si>
  <si>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</si>
  <si>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</si>
  <si>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</si>
  <si>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</si>
  <si>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</si>
  <si>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</si>
  <si>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</si>
  <si>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</si>
  <si>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</si>
  <si>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</si>
  <si>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</si>
  <si>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</si>
  <si>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</si>
  <si>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</si>
  <si>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</si>
  <si>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</si>
  <si>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</si>
  <si>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</si>
  <si>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</si>
  <si>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</si>
  <si>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</si>
  <si>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</si>
  <si>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</si>
  <si>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</si>
  <si>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</si>
  <si>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</si>
  <si>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</si>
  <si>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</si>
  <si>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</si>
  <si>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</si>
  <si>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</si>
  <si>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</si>
  <si>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</si>
  <si>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</si>
  <si>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</si>
  <si>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</si>
  <si>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</si>
  <si>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</si>
  <si>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</si>
  <si>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</si>
  <si>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</si>
  <si>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</si>
  <si>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</si>
  <si>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</si>
  <si>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</si>
  <si>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</si>
  <si>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</si>
  <si>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</si>
  <si>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</si>
  <si>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</si>
  <si>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</si>
  <si>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</si>
  <si>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</si>
  <si>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</si>
  <si>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</si>
  <si>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</si>
  <si>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</si>
  <si>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</si>
  <si>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</si>
  <si>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</si>
  <si>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</si>
  <si>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</si>
  <si>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</si>
  <si>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</si>
  <si>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</si>
  <si>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</si>
  <si>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</si>
  <si>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</si>
  <si>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</si>
  <si>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</si>
  <si>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</si>
  <si>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</si>
  <si>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</si>
  <si>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</si>
  <si>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</si>
  <si>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</si>
  <si>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</si>
  <si>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</si>
  <si>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</si>
  <si>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</si>
  <si>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</si>
  <si>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</si>
  <si>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</si>
  <si>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</si>
  <si>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</si>
  <si>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</si>
  <si>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</si>
  <si>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</si>
  <si>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</si>
  <si>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</si>
  <si>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</si>
  <si>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</si>
  <si>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</si>
  <si>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</si>
  <si>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</si>
  <si>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</si>
  <si>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</si>
  <si>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</si>
  <si>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</si>
  <si>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</si>
  <si>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</si>
  <si>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</si>
  <si>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</si>
  <si>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</si>
  <si>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</si>
  <si>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</si>
  <si>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</si>
  <si>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</si>
  <si>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</si>
  <si>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</si>
  <si>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</si>
  <si>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</si>
  <si>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</si>
  <si>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</si>
  <si>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</si>
  <si>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</si>
  <si>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</si>
  <si>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</si>
  <si>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</si>
  <si>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</si>
  <si>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</si>
  <si>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</si>
  <si>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</si>
  <si>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</si>
  <si>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</si>
  <si>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</si>
  <si>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</si>
  <si>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</si>
  <si>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</si>
  <si>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</si>
  <si>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</si>
  <si>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</si>
  <si>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</si>
  <si>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</si>
  <si>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</si>
  <si>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</si>
  <si>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</si>
  <si>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</si>
  <si>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</si>
  <si>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</si>
  <si>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</si>
  <si>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</si>
  <si>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</si>
  <si>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</si>
  <si>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</si>
  <si>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</si>
  <si>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</si>
  <si>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</si>
  <si>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</si>
  <si>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</si>
  <si>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</si>
  <si>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</si>
  <si>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</si>
  <si>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</si>
  <si>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</si>
  <si>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</si>
  <si>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</si>
  <si>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</si>
  <si>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</si>
  <si>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</si>
  <si>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</si>
  <si>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</si>
  <si>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</si>
  <si>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</si>
  <si>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</si>
  <si>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</si>
  <si>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</si>
  <si>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</si>
  <si>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</si>
  <si>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</si>
  <si>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</si>
  <si>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</si>
  <si>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</si>
  <si>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</si>
  <si>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</si>
  <si>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</si>
  <si>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</si>
  <si>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</si>
  <si>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</si>
  <si>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</si>
  <si>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</si>
  <si>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</si>
  <si>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</si>
  <si>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</si>
  <si>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</si>
  <si>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</si>
  <si>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</si>
  <si>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</si>
  <si>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</si>
  <si>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</si>
  <si>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</si>
  <si>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</si>
  <si>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</si>
  <si>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</si>
  <si>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</si>
  <si>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</si>
  <si>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</si>
  <si>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</si>
  <si>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</si>
  <si>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</si>
  <si>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</si>
  <si>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</si>
  <si>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</si>
  <si>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</si>
  <si>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</si>
  <si>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</si>
  <si>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</si>
  <si>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</si>
  <si>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</si>
  <si>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</si>
  <si>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</si>
  <si>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</si>
  <si>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</si>
  <si>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</si>
  <si>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</si>
  <si>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</si>
  <si>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</si>
  <si>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</si>
  <si>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</si>
  <si>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</si>
  <si>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</si>
  <si>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</si>
  <si>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</si>
  <si>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</si>
  <si>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</si>
  <si>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</si>
  <si>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</si>
  <si>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</si>
  <si>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</si>
  <si>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</si>
  <si>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</si>
  <si>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</si>
  <si>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</si>
  <si>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</si>
  <si>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</si>
  <si>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</si>
  <si>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</si>
  <si>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</si>
  <si>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</si>
  <si>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</si>
  <si>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</si>
  <si>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</si>
  <si>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</si>
  <si>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</si>
  <si>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</si>
  <si>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</si>
  <si>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</si>
  <si>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</si>
  <si>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</si>
  <si>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</si>
  <si>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</si>
  <si>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</si>
  <si>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</si>
  <si>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</si>
  <si>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</si>
  <si>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</si>
  <si>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</si>
  <si>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</si>
  <si>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</si>
  <si>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</si>
  <si>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</si>
  <si>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</si>
  <si>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</si>
  <si>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</si>
  <si>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</si>
  <si>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</si>
  <si>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</si>
  <si>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</si>
  <si>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</si>
  <si>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</si>
  <si>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</si>
  <si>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</si>
  <si>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</si>
  <si>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</si>
  <si>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</si>
  <si>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</si>
  <si>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</si>
  <si>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</si>
  <si>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</si>
  <si>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</si>
  <si>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</si>
  <si>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</si>
  <si>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</si>
  <si>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</si>
  <si>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</si>
  <si>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</si>
  <si>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</si>
  <si>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</si>
  <si>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</si>
  <si>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</si>
  <si>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</si>
  <si>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</si>
  <si>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</si>
  <si>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</si>
  <si>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</si>
  <si>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</si>
  <si>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</si>
  <si>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</si>
  <si>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</si>
  <si>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</si>
  <si>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</si>
  <si>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</si>
  <si>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</si>
  <si>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</si>
  <si>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</si>
  <si>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</si>
  <si>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</si>
  <si>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</si>
  <si>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</si>
  <si>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</si>
  <si>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</si>
  <si>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</si>
  <si>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</si>
  <si>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</si>
  <si>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</si>
  <si>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</si>
  <si>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</si>
  <si>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</si>
  <si>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</si>
  <si>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</si>
  <si>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</si>
  <si>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</si>
  <si>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</si>
  <si>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</si>
  <si>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</si>
  <si>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</si>
  <si>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</si>
  <si>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</si>
  <si>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</si>
  <si>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</si>
  <si>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</si>
  <si>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</si>
  <si>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</si>
  <si>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</si>
  <si>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</si>
  <si>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</si>
  <si>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</si>
  <si>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</si>
  <si>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</si>
  <si>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</si>
  <si>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</si>
  <si>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</si>
  <si>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</si>
  <si>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</si>
  <si>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</si>
  <si>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</si>
  <si>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</si>
  <si>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</si>
  <si>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</si>
  <si>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</si>
  <si>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</si>
  <si>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</si>
  <si>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</si>
  <si>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</si>
  <si>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</si>
  <si>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</si>
  <si>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</si>
  <si>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</si>
  <si>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</si>
  <si>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</si>
  <si>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</si>
  <si>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</si>
  <si>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</si>
  <si>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</si>
  <si>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</si>
  <si>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</si>
  <si>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</si>
  <si>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</si>
  <si>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</si>
  <si>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</si>
  <si>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</si>
  <si>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</si>
  <si>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</si>
  <si>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</si>
  <si>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</si>
  <si>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</si>
  <si>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</si>
  <si>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</si>
  <si>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</si>
  <si>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</si>
  <si>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</si>
  <si>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</si>
  <si>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</si>
  <si>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</si>
  <si>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</si>
  <si>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</si>
  <si>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</si>
  <si>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</si>
  <si>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</si>
  <si>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</si>
  <si>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</si>
  <si>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</si>
  <si>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</si>
  <si>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</si>
  <si>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</si>
  <si>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</si>
  <si>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</si>
  <si>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</si>
  <si>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</si>
  <si>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</si>
  <si>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</si>
  <si>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</si>
  <si>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</si>
  <si>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</si>
  <si>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</si>
  <si>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</si>
  <si>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</si>
  <si>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</si>
  <si>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</si>
  <si>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</si>
  <si>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</si>
  <si>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</si>
  <si>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</si>
  <si>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</si>
  <si>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</si>
  <si>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</si>
  <si>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</si>
  <si>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</si>
  <si>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</si>
  <si>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</si>
  <si>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</si>
  <si>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</si>
  <si>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</si>
  <si>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</si>
  <si>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</si>
  <si>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</si>
  <si>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</si>
  <si>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</si>
  <si>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</si>
  <si>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</si>
  <si>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</si>
  <si>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</si>
  <si>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</si>
  <si>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</si>
  <si>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</si>
  <si>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</si>
  <si>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</si>
  <si>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</si>
  <si>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</si>
  <si>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</si>
  <si>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</si>
  <si>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</si>
  <si>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</si>
  <si>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</si>
  <si>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</si>
  <si>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</si>
  <si>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</si>
  <si>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</si>
  <si>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</si>
  <si>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</si>
  <si>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</si>
  <si>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</si>
  <si>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</si>
  <si>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</si>
  <si>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</si>
  <si>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</si>
  <si>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</si>
  <si>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</si>
  <si>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</si>
  <si>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</si>
  <si>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</si>
  <si>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</si>
  <si>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</si>
  <si>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</si>
  <si>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</si>
  <si>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</si>
  <si>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</si>
  <si>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</si>
  <si>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</si>
  <si>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</si>
  <si>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</si>
  <si>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</si>
  <si>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</si>
  <si>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</si>
  <si>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</si>
  <si>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</si>
  <si>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</si>
  <si>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</si>
  <si>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</si>
  <si>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</si>
  <si>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</si>
  <si>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</si>
  <si>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</si>
  <si>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</si>
  <si>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</si>
  <si>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</si>
  <si>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</si>
  <si>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</si>
  <si>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</si>
  <si>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</si>
  <si>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</si>
  <si>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</si>
  <si>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</si>
  <si>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</si>
  <si>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</si>
  <si>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</si>
  <si>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</si>
  <si>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</si>
  <si>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</si>
  <si>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</si>
  <si>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</si>
  <si>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</si>
  <si>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</si>
  <si>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</si>
  <si>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</si>
  <si>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</si>
  <si>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</si>
  <si>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</si>
  <si>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</si>
  <si>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</si>
  <si>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</si>
  <si>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</si>
  <si>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</si>
  <si>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</si>
  <si>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</si>
  <si>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</si>
  <si>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</si>
  <si>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</si>
  <si>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</si>
  <si>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</si>
  <si>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</si>
  <si>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</si>
  <si>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</si>
  <si>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</si>
  <si>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</si>
  <si>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</si>
  <si>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</si>
  <si>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</si>
  <si>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</si>
  <si>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</si>
  <si>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</si>
  <si>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</si>
  <si>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</si>
  <si>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</si>
  <si>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</si>
  <si>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</si>
  <si>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</si>
  <si>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</si>
  <si>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</si>
  <si>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</si>
  <si>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</si>
  <si>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</si>
  <si>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</si>
  <si>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</si>
  <si>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</si>
  <si>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</si>
  <si>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</si>
  <si>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</si>
  <si>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</si>
  <si>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</si>
  <si>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</si>
  <si>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</si>
  <si>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</si>
  <si>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</si>
  <si>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</si>
  <si>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</si>
  <si>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</si>
  <si>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</si>
  <si>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</si>
  <si>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</si>
  <si>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</si>
  <si>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</si>
  <si>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</si>
  <si>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</si>
  <si>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</si>
  <si>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</si>
  <si>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</si>
  <si>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</si>
  <si>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</si>
  <si>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</si>
  <si>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</si>
  <si>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</si>
  <si>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</si>
  <si>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</si>
  <si>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</si>
  <si>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</si>
  <si>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</si>
  <si>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</si>
  <si>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</si>
  <si>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</si>
  <si>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</si>
  <si>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</si>
  <si>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</si>
  <si>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</si>
  <si>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</si>
  <si>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</si>
  <si>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</si>
  <si>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</si>
  <si>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</si>
  <si>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</si>
  <si>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</si>
  <si>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</si>
  <si>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</si>
  <si>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</si>
  <si>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</si>
  <si>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</si>
  <si>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</si>
  <si>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</si>
  <si>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</si>
  <si>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</si>
  <si>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</si>
  <si>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</si>
  <si>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</si>
  <si>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</si>
  <si>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</si>
  <si>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</si>
  <si>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</si>
  <si>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</si>
  <si>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</si>
  <si>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</si>
  <si>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</si>
  <si>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</si>
  <si>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</si>
  <si>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</si>
  <si>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</si>
  <si>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</si>
  <si>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</si>
  <si>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</si>
  <si>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</si>
  <si>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</si>
  <si>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</si>
  <si>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</si>
  <si>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</si>
  <si>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</si>
  <si>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</si>
  <si>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</si>
  <si>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</si>
  <si>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</si>
  <si>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</si>
  <si>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</si>
  <si>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</si>
  <si>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</si>
  <si>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</si>
  <si>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</si>
  <si>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</si>
  <si>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</si>
  <si>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</si>
  <si>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</si>
  <si>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</si>
  <si>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</si>
  <si>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</si>
  <si>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</si>
  <si>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</si>
  <si>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</si>
  <si>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</si>
  <si>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</si>
  <si>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</si>
  <si>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</si>
  <si>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</si>
  <si>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</si>
  <si>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</si>
  <si>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</si>
  <si>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</si>
  <si>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</si>
  <si>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</si>
  <si>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</si>
  <si>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</si>
  <si>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</si>
  <si>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</si>
  <si>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</si>
  <si>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</si>
  <si>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</si>
  <si>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</si>
  <si>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</si>
  <si>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</si>
  <si>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</si>
  <si>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</si>
  <si>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</si>
  <si>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</si>
  <si>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</si>
  <si>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</si>
  <si>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</si>
  <si>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</si>
  <si>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</si>
  <si>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</si>
  <si>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</si>
  <si>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</si>
  <si>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</si>
  <si>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</si>
  <si>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</si>
  <si>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</si>
  <si>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</si>
  <si>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</si>
  <si>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</si>
  <si>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</si>
  <si>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</si>
  <si>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</si>
  <si>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</si>
  <si>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</si>
  <si>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</si>
  <si>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</si>
  <si>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</si>
  <si>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</si>
  <si>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</si>
  <si>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</si>
  <si>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</si>
  <si>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</si>
  <si>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</si>
  <si>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</si>
  <si>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</si>
  <si>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</si>
  <si>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</si>
  <si>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</si>
  <si>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</si>
  <si>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</si>
  <si>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</si>
  <si>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</si>
  <si>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</si>
  <si>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</si>
  <si>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</si>
  <si>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</si>
  <si>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</si>
  <si>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</si>
  <si>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</si>
  <si>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</si>
  <si>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</si>
  <si>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</si>
  <si>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</si>
  <si>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</si>
  <si>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</si>
  <si>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</si>
  <si>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</si>
  <si>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</si>
  <si>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</si>
  <si>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</si>
  <si>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</si>
  <si>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</si>
  <si>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</si>
  <si>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</si>
  <si>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</si>
  <si>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</si>
  <si>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</si>
  <si>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</si>
  <si>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</si>
  <si>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</si>
  <si>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</si>
  <si>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</si>
  <si>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</si>
  <si>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</si>
  <si>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</si>
  <si>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</si>
  <si>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</si>
  <si>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</si>
  <si>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</si>
  <si>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</si>
  <si>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</si>
  <si>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</si>
  <si>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</si>
  <si>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</si>
  <si>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</si>
  <si>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</si>
  <si>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</si>
  <si>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</si>
  <si>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</si>
  <si>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</si>
  <si>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</si>
  <si>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</si>
  <si>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</si>
  <si>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</si>
  <si>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</si>
  <si>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</si>
  <si>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</si>
  <si>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</si>
  <si>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</si>
  <si>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</si>
  <si>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</si>
  <si>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</si>
  <si>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</si>
  <si>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</si>
  <si>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</si>
  <si>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</si>
  <si>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</si>
  <si>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</si>
  <si>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</si>
  <si>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</si>
  <si>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</si>
  <si>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</si>
  <si>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</si>
  <si>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</si>
  <si>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</si>
  <si>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</si>
  <si>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</si>
  <si>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</si>
  <si>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</si>
  <si>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</si>
  <si>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</si>
  <si>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</si>
  <si>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</si>
  <si>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</si>
  <si>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</si>
  <si>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</si>
  <si>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</si>
  <si>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</si>
  <si>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</si>
  <si>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</si>
  <si>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</si>
  <si>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</si>
  <si>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</si>
  <si>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</si>
  <si>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</si>
  <si>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</si>
  <si>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</si>
  <si>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</si>
  <si>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</si>
  <si>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</si>
  <si>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</si>
  <si>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</si>
  <si>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</si>
  <si>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</si>
  <si>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</si>
  <si>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</si>
  <si>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</si>
  <si>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</si>
  <si>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</si>
  <si>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</si>
  <si>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</si>
  <si>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</si>
  <si>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</si>
  <si>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</si>
  <si>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</si>
  <si>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</si>
  <si>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</si>
  <si>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</si>
  <si>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</si>
  <si>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</si>
  <si>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</si>
  <si>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</si>
  <si>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</si>
  <si>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</si>
  <si>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</si>
  <si>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</si>
  <si>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</si>
  <si>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</si>
  <si>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</si>
  <si>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</si>
  <si>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</si>
  <si>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</si>
  <si>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</si>
  <si>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</si>
  <si>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</si>
  <si>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</si>
  <si>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</si>
  <si>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</si>
  <si>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</si>
  <si>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</si>
  <si>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</si>
  <si>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</si>
  <si>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</si>
  <si>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</si>
  <si>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</si>
  <si>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</si>
  <si>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</si>
  <si>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</si>
  <si>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</si>
  <si>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</si>
  <si>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</si>
  <si>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</si>
  <si>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</si>
  <si>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</si>
  <si>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</si>
  <si>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</si>
  <si>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</si>
  <si>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</si>
  <si>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</si>
  <si>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</si>
  <si>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</si>
  <si>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</si>
  <si>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</si>
  <si>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</si>
  <si>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</si>
  <si>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</si>
  <si>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</si>
  <si>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</si>
  <si>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</si>
  <si>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</si>
  <si>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</si>
  <si>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</si>
  <si>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</si>
  <si>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</si>
  <si>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</si>
  <si>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</si>
  <si>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</si>
  <si>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</si>
  <si>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</si>
  <si>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</si>
  <si>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</si>
  <si>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</si>
  <si>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</si>
  <si>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</si>
  <si>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</si>
  <si>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</si>
  <si>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</si>
  <si>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</si>
  <si>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</si>
  <si>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</si>
  <si>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</si>
  <si>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</si>
  <si>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</si>
  <si>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</si>
  <si>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</si>
  <si>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</si>
  <si>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</si>
  <si>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</si>
  <si>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</si>
  <si>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</si>
  <si>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</si>
  <si>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</si>
  <si>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</si>
  <si>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</si>
  <si>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</si>
  <si>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</si>
  <si>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</si>
  <si>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</si>
  <si>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</si>
  <si>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</si>
  <si>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</si>
  <si>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</si>
  <si>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</si>
  <si>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</si>
  <si>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</si>
  <si>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</si>
  <si>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</si>
  <si>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</si>
  <si>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</si>
  <si>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</si>
  <si>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</si>
  <si>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</si>
  <si>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</si>
  <si>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</si>
  <si>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</si>
  <si>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</si>
  <si>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</si>
  <si>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</si>
  <si>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</si>
  <si>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</si>
  <si>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</si>
  <si>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</si>
  <si>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</si>
  <si>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</si>
  <si>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</si>
  <si>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</si>
  <si>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</si>
  <si>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</si>
  <si>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</si>
  <si>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</si>
  <si>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</si>
  <si>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</si>
  <si>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</si>
  <si>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</si>
  <si>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</si>
  <si>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</si>
  <si>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</si>
  <si>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</si>
  <si>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</si>
  <si>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</si>
  <si>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</si>
  <si>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</si>
  <si>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</si>
  <si>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</si>
  <si>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</si>
  <si>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</si>
  <si>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</si>
  <si>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</si>
  <si>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</si>
  <si>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</si>
  <si>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</si>
  <si>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</si>
  <si>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</si>
  <si>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</si>
  <si>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</si>
  <si>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</si>
  <si>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</si>
  <si>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</si>
  <si>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</si>
  <si>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</si>
  <si>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</si>
  <si>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</si>
  <si>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</si>
  <si>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</si>
  <si>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</si>
  <si>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</si>
  <si>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</si>
  <si>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</si>
  <si>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</si>
  <si>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</si>
  <si>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</si>
  <si>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</si>
  <si>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</si>
  <si>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</si>
  <si>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</si>
  <si>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</si>
  <si>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</si>
  <si>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</si>
  <si>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</si>
  <si>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</si>
  <si>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</si>
  <si>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</si>
  <si>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</si>
  <si>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</si>
  <si>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</si>
  <si>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</si>
  <si>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</si>
  <si>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</si>
  <si>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</si>
  <si>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</si>
  <si>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</si>
  <si>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</si>
  <si>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</si>
  <si>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</si>
  <si>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</si>
  <si>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</si>
  <si>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</si>
  <si>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</si>
  <si>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</si>
  <si>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</si>
  <si>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</si>
  <si>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</si>
  <si>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</si>
  <si>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</si>
  <si>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</si>
  <si>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</si>
  <si>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</si>
  <si>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</si>
  <si>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</si>
  <si>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</si>
  <si>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</si>
  <si>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</si>
  <si>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</si>
  <si>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</si>
  <si>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</si>
  <si>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</si>
  <si>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</si>
  <si>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</si>
  <si>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</si>
  <si>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</si>
  <si>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</si>
  <si>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</si>
  <si>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</si>
  <si>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</si>
  <si>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</si>
  <si>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</si>
  <si>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</si>
  <si>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</si>
  <si>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</si>
  <si>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</si>
  <si>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</si>
  <si>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</si>
  <si>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</si>
  <si>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</si>
  <si>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</si>
  <si>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</si>
  <si>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</si>
  <si>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</si>
  <si>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</si>
  <si>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</si>
  <si>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</si>
  <si>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</si>
  <si>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</si>
  <si>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</si>
  <si>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</si>
  <si>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</si>
  <si>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</si>
  <si>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</si>
  <si>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</si>
  <si>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</si>
  <si>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</si>
  <si>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</si>
  <si>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</si>
  <si>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</si>
  <si>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</si>
  <si>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</si>
  <si>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</si>
  <si>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</si>
  <si>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</si>
  <si>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</si>
  <si>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</si>
  <si>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</si>
  <si>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</si>
  <si>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</si>
  <si>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</si>
  <si>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</si>
  <si>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</si>
  <si>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</si>
  <si>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</si>
  <si>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</si>
  <si>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</si>
  <si>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</si>
  <si>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</si>
  <si>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</si>
  <si>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</si>
  <si>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</si>
  <si>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</si>
  <si>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</si>
  <si>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</si>
  <si>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</si>
  <si>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</si>
  <si>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</si>
  <si>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</si>
  <si>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</si>
  <si>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</si>
  <si>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</si>
  <si>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</si>
  <si>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</si>
  <si>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</si>
  <si>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</si>
  <si>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</si>
  <si>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</si>
  <si>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</si>
  <si>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</si>
  <si>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</si>
  <si>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</si>
  <si>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</si>
  <si>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</si>
  <si>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</si>
  <si>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</si>
  <si>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</si>
  <si>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</si>
  <si>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</si>
  <si>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</si>
  <si>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</si>
  <si>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</si>
  <si>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</si>
  <si>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</si>
  <si>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</si>
  <si>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</si>
  <si>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</si>
  <si>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</si>
  <si>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</si>
  <si>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</si>
  <si>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</si>
  <si>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</si>
  <si>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</si>
  <si>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</si>
  <si>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</si>
  <si>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</si>
  <si>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</si>
  <si>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</si>
  <si>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</si>
  <si>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</si>
  <si>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</si>
  <si>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</si>
  <si>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</si>
  <si>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</si>
  <si>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</si>
  <si>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</si>
  <si>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</si>
  <si>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</si>
  <si>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</si>
  <si>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</si>
  <si>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</si>
  <si>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</si>
  <si>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</si>
  <si>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</si>
  <si>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</si>
  <si>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</si>
  <si>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</si>
  <si>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</si>
  <si>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</si>
  <si>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</si>
  <si>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</si>
  <si>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</si>
  <si>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</si>
  <si>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</si>
  <si>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</si>
  <si>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</si>
  <si>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</si>
  <si>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</si>
  <si>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</si>
  <si>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</si>
  <si>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</si>
  <si>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</si>
  <si>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</si>
  <si>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</si>
  <si>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</si>
  <si>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</si>
  <si>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</si>
  <si>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</si>
  <si>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</si>
  <si>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</si>
  <si>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</si>
  <si>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</si>
  <si>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</si>
  <si>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</si>
  <si>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</si>
  <si>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</si>
  <si>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</si>
  <si>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</si>
  <si>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</si>
  <si>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</si>
  <si>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</si>
  <si>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</si>
  <si>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</si>
  <si>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</si>
  <si>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</si>
  <si>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</si>
  <si>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</si>
  <si>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</si>
  <si>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</si>
  <si>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</si>
  <si>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</si>
  <si>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</si>
  <si>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</si>
  <si>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</si>
  <si>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</si>
  <si>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</si>
  <si>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</si>
  <si>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</si>
  <si>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</si>
  <si>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</si>
  <si>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</si>
  <si>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</si>
  <si>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</si>
  <si>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</si>
  <si>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</si>
  <si>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</si>
  <si>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</si>
  <si>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</si>
  <si>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</si>
  <si>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</si>
  <si>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</si>
  <si>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</si>
  <si>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</si>
  <si>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</si>
  <si>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</si>
  <si>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</si>
  <si>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</si>
  <si>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</si>
  <si>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</si>
  <si>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</si>
  <si>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</si>
  <si>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</si>
  <si>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</si>
  <si>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</si>
  <si>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</si>
  <si>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</si>
  <si>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</si>
  <si>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</si>
  <si>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</si>
  <si>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</si>
  <si>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</si>
  <si>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</si>
  <si>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</si>
  <si>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</si>
  <si>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</si>
  <si>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</si>
  <si>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</si>
  <si>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</si>
  <si>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</si>
  <si>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</si>
  <si>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</si>
  <si>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</si>
  <si>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</si>
  <si>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</si>
  <si>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</si>
  <si>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</si>
  <si>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</si>
  <si>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</si>
  <si>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</si>
  <si>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</si>
  <si>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</si>
  <si>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</si>
  <si>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</si>
  <si>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</si>
  <si>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</si>
  <si>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</si>
  <si>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</si>
  <si>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</si>
  <si>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</si>
  <si>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</si>
  <si>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</si>
  <si>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</si>
  <si>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</si>
  <si>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</si>
  <si>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</si>
  <si>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</si>
  <si>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</si>
  <si>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</si>
  <si>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</si>
  <si>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</si>
  <si>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</si>
  <si>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</si>
  <si>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</si>
  <si>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</si>
  <si>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</si>
  <si>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</si>
  <si>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</si>
  <si>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</si>
  <si>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</si>
  <si>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</si>
  <si>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</si>
  <si>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</si>
  <si>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</si>
  <si>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</si>
  <si>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</si>
  <si>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</si>
  <si>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</si>
  <si>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</si>
  <si>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</si>
  <si>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</si>
  <si>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</si>
  <si>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</si>
  <si>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</si>
  <si>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</si>
  <si>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</si>
  <si>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</si>
  <si>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</si>
  <si>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</si>
  <si>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</si>
  <si>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</si>
  <si>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</si>
  <si>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</si>
  <si>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</si>
  <si>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</si>
  <si>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</si>
  <si>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</si>
  <si>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</si>
  <si>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</si>
  <si>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</si>
  <si>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</si>
  <si>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</si>
  <si>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</si>
  <si>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</si>
  <si>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</si>
  <si>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</si>
  <si>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</si>
  <si>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</si>
  <si>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</si>
  <si>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</si>
  <si>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</si>
  <si>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</si>
  <si>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</si>
  <si>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</si>
  <si>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</si>
  <si>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</si>
  <si>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</si>
  <si>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</si>
  <si>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</si>
  <si>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</si>
  <si>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</si>
  <si>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</si>
  <si>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</si>
  <si>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</si>
  <si>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</si>
  <si>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</si>
  <si>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</si>
  <si>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</si>
  <si>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</si>
  <si>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</si>
  <si>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</si>
  <si>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</si>
  <si>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</si>
  <si>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</si>
  <si>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</si>
  <si>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</si>
  <si>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</si>
  <si>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</si>
  <si>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</si>
  <si>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</si>
  <si>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</si>
  <si>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</si>
  <si>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</si>
  <si>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</si>
  <si>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</si>
  <si>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</si>
  <si>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</si>
  <si>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</si>
  <si>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</si>
  <si>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</si>
  <si>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</si>
  <si>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</si>
  <si>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</si>
  <si>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</si>
  <si>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</si>
  <si>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</si>
  <si>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</si>
  <si>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</si>
  <si>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</si>
  <si>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</si>
  <si>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</si>
  <si>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</si>
  <si>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</si>
  <si>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</si>
  <si>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</si>
  <si>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</si>
  <si>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</si>
  <si>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</si>
  <si>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</si>
  <si>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</si>
  <si>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</si>
  <si>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</si>
  <si>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</si>
  <si>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</si>
  <si>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</si>
  <si>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</si>
  <si>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</si>
  <si>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</si>
  <si>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</si>
  <si>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</si>
  <si>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</si>
  <si>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</si>
  <si>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</si>
  <si>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</si>
  <si>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</si>
  <si>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</si>
  <si>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</si>
  <si>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</si>
  <si>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</si>
  <si>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</si>
  <si>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</si>
  <si>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</si>
  <si>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</si>
  <si>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</si>
  <si>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</si>
  <si>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</si>
  <si>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</si>
  <si>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</si>
  <si>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</si>
  <si>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</si>
  <si>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</si>
  <si>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</si>
  <si>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</si>
  <si>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</si>
  <si>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</si>
  <si>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</si>
  <si>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</si>
  <si>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</si>
  <si>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</si>
  <si>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</si>
  <si>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</si>
  <si>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</si>
  <si>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</si>
  <si>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</si>
  <si>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</si>
  <si>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</si>
  <si>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</si>
  <si>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</si>
  <si>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</si>
  <si>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</si>
  <si>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</si>
  <si>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</si>
  <si>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</si>
  <si>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</si>
  <si>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</si>
  <si>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</si>
  <si>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</si>
  <si>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</si>
  <si>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</si>
  <si>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</si>
  <si>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</si>
  <si>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</si>
  <si>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</si>
  <si>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</si>
  <si>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</si>
  <si>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</si>
  <si>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</si>
  <si>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</si>
  <si>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</si>
  <si>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</si>
  <si>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</si>
  <si>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</si>
  <si>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</si>
  <si>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</si>
  <si>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</si>
  <si>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</si>
  <si>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</si>
  <si>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</si>
  <si>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</si>
  <si>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</si>
  <si>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</si>
  <si>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</si>
  <si>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</si>
  <si>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</si>
  <si>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</si>
  <si>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</si>
  <si>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</si>
  <si>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</si>
  <si>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</si>
  <si>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</si>
  <si>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</si>
  <si>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</si>
  <si>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</si>
  <si>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</si>
  <si>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</si>
  <si>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</si>
  <si>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</si>
  <si>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</si>
  <si>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</si>
  <si>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</si>
  <si>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</si>
  <si>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</si>
  <si>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</si>
  <si>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</si>
  <si>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</si>
  <si>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</si>
  <si>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</si>
  <si>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</si>
  <si>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</si>
  <si>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</si>
  <si>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</si>
  <si>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</si>
  <si>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</si>
  <si>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</si>
  <si>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</si>
  <si>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</si>
  <si>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</si>
  <si>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</si>
  <si>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</si>
  <si>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</si>
  <si>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</si>
  <si>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</si>
  <si>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</si>
  <si>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</si>
  <si>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</si>
  <si>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</si>
  <si>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</si>
  <si>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</si>
  <si>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</si>
  <si>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</si>
  <si>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</si>
  <si>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</si>
  <si>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</si>
  <si>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</si>
  <si>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</si>
  <si>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</si>
  <si>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</si>
  <si>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</si>
  <si>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</si>
  <si>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</si>
  <si>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</si>
  <si>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</si>
  <si>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</si>
  <si>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</si>
  <si>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</si>
  <si>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</si>
  <si>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</si>
  <si>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</si>
  <si>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</si>
  <si>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</si>
  <si>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</si>
  <si>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</si>
  <si>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</si>
  <si>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</si>
  <si>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</si>
  <si>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</si>
  <si>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</si>
  <si>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</si>
  <si>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</si>
  <si>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</si>
  <si>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</si>
  <si>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</si>
  <si>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</si>
  <si>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</si>
  <si>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</si>
  <si>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</si>
  <si>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</si>
  <si>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</si>
  <si>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</si>
  <si>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</si>
  <si>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</si>
  <si>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</si>
  <si>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</si>
  <si>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</si>
  <si>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</si>
  <si>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</si>
  <si>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</si>
  <si>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</si>
  <si>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</si>
  <si>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</si>
  <si>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</si>
  <si>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</si>
  <si>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</si>
  <si>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</si>
  <si>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</si>
  <si>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</si>
  <si>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</si>
  <si>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</si>
  <si>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</si>
  <si>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</si>
  <si>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</si>
  <si>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</si>
  <si>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</si>
  <si>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</si>
  <si>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</si>
  <si>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</si>
  <si>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</si>
  <si>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</si>
  <si>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</si>
  <si>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</si>
  <si>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</si>
  <si>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</si>
  <si>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</si>
  <si>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</si>
  <si>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</si>
  <si>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</si>
  <si>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</si>
  <si>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</si>
  <si>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</si>
  <si>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</si>
  <si>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</si>
  <si>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</si>
  <si>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</si>
  <si>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</si>
  <si>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</si>
  <si>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</si>
  <si>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</si>
  <si>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</si>
  <si>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</si>
  <si>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</si>
  <si>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</si>
  <si>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</si>
  <si>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</si>
  <si>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</si>
  <si>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</si>
  <si>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</si>
  <si>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</si>
  <si>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</si>
  <si>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</si>
  <si>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</si>
  <si>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</si>
  <si>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</si>
  <si>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</si>
  <si>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</si>
  <si>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</si>
  <si>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</si>
  <si>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</si>
  <si>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</si>
  <si>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</si>
  <si>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</si>
  <si>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</si>
  <si>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</si>
  <si>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</si>
  <si>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</si>
  <si>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</si>
  <si>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</si>
  <si>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</si>
  <si>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</si>
  <si>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</si>
  <si>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</si>
  <si>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</si>
  <si>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</si>
  <si>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</si>
  <si>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</si>
  <si>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</si>
  <si>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</si>
  <si>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</si>
  <si>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</si>
  <si>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</si>
  <si>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</si>
  <si>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</si>
  <si>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</si>
  <si>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</si>
  <si>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</si>
  <si>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</si>
  <si>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</si>
  <si>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</si>
  <si>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</si>
  <si>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</si>
  <si>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</si>
  <si>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</si>
  <si>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</si>
  <si>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</si>
  <si>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</si>
  <si>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</si>
  <si>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</si>
  <si>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</si>
  <si>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</si>
  <si>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</si>
  <si>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</si>
  <si>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</si>
  <si>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</si>
  <si>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</si>
  <si>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</si>
  <si>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</si>
  <si>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</si>
  <si>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</si>
  <si>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</si>
  <si>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</si>
  <si>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</si>
  <si>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</si>
  <si>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</si>
  <si>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</si>
  <si>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</si>
  <si>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</si>
  <si>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</si>
  <si>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</si>
  <si>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</si>
  <si>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</si>
  <si>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</si>
  <si>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</si>
  <si>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</si>
  <si>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</si>
  <si>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</si>
  <si>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</si>
  <si>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</si>
  <si>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</si>
  <si>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</si>
  <si>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</si>
  <si>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</si>
  <si>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</si>
  <si>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</si>
  <si>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</si>
  <si>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</si>
  <si>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</si>
  <si>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</si>
  <si>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</si>
  <si>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</si>
  <si>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</si>
  <si>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</si>
  <si>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</si>
  <si>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</si>
  <si>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</si>
  <si>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</si>
  <si>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</si>
  <si>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</si>
  <si>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</si>
  <si>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</si>
  <si>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</si>
  <si>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</si>
  <si>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</si>
  <si>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</si>
  <si>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</si>
  <si>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</si>
  <si>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</si>
  <si>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</si>
  <si>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</si>
  <si>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</si>
  <si>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</si>
  <si>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</si>
  <si>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</si>
  <si>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</si>
  <si>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</si>
  <si>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</si>
  <si>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</si>
  <si>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</si>
  <si>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</si>
  <si>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</si>
  <si>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</si>
  <si>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</si>
  <si>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</si>
  <si>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</si>
  <si>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</si>
  <si>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</si>
  <si>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</si>
  <si>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</si>
  <si>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</si>
  <si>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</si>
  <si>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</si>
  <si>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</si>
  <si>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</si>
  <si>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</si>
  <si>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</si>
  <si>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</si>
  <si>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</si>
  <si>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</si>
  <si>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</si>
  <si>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</si>
  <si>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</si>
  <si>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</si>
  <si>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</si>
  <si>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</si>
  <si>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</si>
  <si>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</si>
  <si>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</si>
  <si>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</si>
  <si>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</si>
  <si>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</si>
  <si>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</si>
  <si>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</si>
  <si>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</si>
  <si>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</si>
  <si>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</si>
  <si>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</si>
  <si>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</si>
  <si>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</si>
  <si>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</si>
  <si>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</si>
  <si>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</si>
  <si>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</si>
  <si>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</si>
  <si>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</si>
  <si>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</si>
  <si>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</si>
  <si>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</si>
  <si>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</si>
  <si>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</si>
  <si>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</si>
  <si>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</si>
  <si>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</si>
  <si>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</si>
  <si>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</si>
  <si>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</si>
  <si>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</si>
  <si>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</si>
  <si>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</si>
  <si>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</si>
  <si>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</si>
  <si>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</si>
  <si>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</si>
  <si>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</si>
  <si>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</si>
  <si>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</si>
  <si>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</si>
  <si>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</si>
  <si>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</si>
  <si>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</si>
  <si>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</si>
  <si>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</si>
  <si>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</si>
  <si>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</si>
  <si>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</si>
  <si>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</si>
  <si>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</si>
  <si>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</si>
  <si>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</si>
  <si>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</si>
  <si>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</si>
  <si>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</si>
  <si>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</si>
  <si>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</si>
  <si>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</si>
  <si>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</si>
  <si>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</si>
  <si>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</si>
  <si>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</si>
  <si>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</si>
  <si>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</si>
  <si>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</si>
  <si>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</si>
  <si>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</si>
  <si>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</si>
  <si>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</si>
  <si>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</si>
  <si>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</si>
  <si>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</si>
  <si>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</si>
  <si>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</si>
  <si>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</si>
  <si>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</si>
  <si>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</si>
  <si>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</si>
  <si>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</si>
  <si>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</si>
  <si>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</si>
  <si>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</si>
  <si>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</si>
  <si>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</si>
  <si>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</si>
  <si>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</si>
  <si>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</si>
  <si>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</si>
  <si>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</si>
  <si>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</si>
  <si>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</si>
  <si>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</si>
  <si>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</si>
  <si>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</si>
  <si>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</si>
  <si>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</si>
  <si>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</si>
  <si>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</si>
  <si>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</si>
  <si>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</si>
  <si>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</si>
  <si>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</si>
  <si>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</si>
  <si>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</si>
  <si>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</si>
  <si>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</si>
  <si>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</si>
  <si>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</si>
  <si>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</si>
  <si>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</si>
  <si>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</si>
  <si>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</si>
  <si>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</si>
  <si>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</si>
  <si>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</si>
  <si>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</si>
  <si>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</si>
  <si>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</si>
  <si>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</si>
  <si>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</si>
  <si>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</si>
  <si>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</si>
  <si>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</si>
  <si>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</si>
  <si>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</si>
  <si>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</si>
  <si>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</si>
  <si>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</si>
  <si>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</si>
  <si>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</si>
  <si>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</si>
  <si>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</si>
  <si>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</si>
  <si>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</si>
  <si>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</si>
  <si>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</si>
  <si>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</si>
  <si>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</si>
  <si>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</si>
  <si>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</si>
  <si>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</si>
  <si>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</si>
  <si>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</si>
  <si>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</si>
  <si>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</si>
  <si>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</si>
  <si>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</si>
  <si>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</si>
  <si>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</si>
  <si>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</si>
  <si>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</si>
  <si>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</si>
  <si>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</si>
  <si>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</si>
  <si>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</si>
  <si>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</si>
  <si>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</si>
  <si>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</si>
  <si>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</si>
  <si>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</si>
  <si>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</si>
  <si>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</si>
  <si>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</si>
  <si>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</si>
  <si>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</si>
  <si>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</si>
  <si>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</si>
  <si>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</si>
  <si>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</si>
  <si>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</si>
  <si>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</si>
  <si>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</si>
  <si>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</si>
  <si>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</si>
  <si>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</si>
  <si>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</si>
  <si>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</si>
  <si>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</si>
  <si>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</si>
  <si>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</si>
  <si>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</si>
  <si>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</si>
  <si>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</si>
  <si>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</si>
  <si>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</si>
  <si>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</si>
  <si>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</si>
  <si>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</si>
  <si>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</si>
  <si>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</si>
  <si>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</si>
  <si>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</si>
  <si>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</si>
  <si>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</si>
  <si>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</si>
  <si>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</si>
  <si>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</si>
  <si>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</si>
  <si>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</si>
  <si>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</si>
  <si>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</si>
  <si>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</si>
  <si>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</si>
  <si>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</si>
  <si>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</si>
  <si>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</si>
  <si>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</si>
  <si>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</si>
  <si>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</si>
  <si>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</si>
  <si>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</si>
  <si>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</si>
  <si>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</si>
  <si>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</si>
  <si>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</si>
  <si>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</si>
  <si>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</si>
  <si>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</si>
  <si>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</si>
  <si>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</si>
  <si>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</si>
  <si>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</si>
  <si>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</si>
  <si>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</si>
  <si>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</si>
  <si>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</si>
  <si>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</si>
  <si>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</si>
  <si>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</si>
  <si>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</si>
  <si>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</si>
  <si>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</si>
  <si>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</si>
  <si>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</si>
  <si>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</si>
  <si>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</si>
  <si>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</si>
  <si>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</si>
  <si>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</si>
  <si>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</si>
  <si>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</si>
  <si>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</si>
  <si>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</si>
  <si>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</si>
  <si>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</si>
  <si>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</si>
  <si>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</si>
  <si>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</si>
  <si>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</si>
  <si>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</si>
  <si>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</si>
  <si>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</si>
  <si>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</si>
  <si>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</si>
  <si>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</si>
  <si>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</si>
  <si>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</si>
  <si>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</si>
  <si>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</si>
  <si>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</si>
  <si>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</si>
  <si>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</si>
  <si>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</si>
  <si>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</si>
  <si>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</si>
  <si>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</si>
  <si>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</si>
  <si>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</si>
  <si>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</si>
  <si>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</si>
  <si>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</si>
  <si>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</si>
  <si>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</si>
  <si>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</si>
  <si>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</si>
  <si>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</si>
  <si>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</si>
  <si>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</si>
  <si>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</si>
  <si>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</si>
  <si>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</si>
  <si>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</si>
  <si>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</si>
  <si>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</si>
  <si>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</si>
  <si>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</si>
  <si>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</si>
  <si>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</si>
  <si>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</si>
  <si>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</si>
  <si>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</si>
  <si>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</si>
  <si>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</si>
  <si>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</si>
  <si>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</si>
  <si>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</si>
  <si>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</si>
  <si>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</si>
  <si>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</si>
  <si>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</si>
  <si>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</si>
  <si>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</si>
  <si>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</si>
  <si>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</si>
  <si>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</si>
  <si>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</si>
  <si>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</si>
  <si>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</si>
  <si>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</si>
  <si>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</si>
  <si>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</si>
  <si>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</si>
  <si>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</si>
  <si>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</si>
  <si>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</si>
  <si>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</si>
  <si>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</si>
  <si>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</si>
  <si>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</si>
  <si>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</si>
  <si>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</si>
  <si>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</si>
  <si>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</si>
  <si>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</si>
  <si>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</si>
  <si>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</si>
  <si>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</si>
  <si>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</si>
  <si>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</si>
  <si>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</si>
  <si>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</si>
  <si>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</si>
  <si>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</si>
  <si>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</si>
  <si>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</si>
  <si>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</si>
  <si>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</si>
  <si>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</si>
  <si>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</si>
  <si>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</si>
  <si>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</si>
  <si>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</si>
  <si>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</si>
  <si>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</si>
  <si>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</si>
  <si>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</si>
  <si>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</si>
  <si>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</si>
  <si>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</si>
  <si>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</si>
  <si>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</si>
  <si>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</si>
  <si>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</si>
  <si>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</si>
  <si>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</si>
  <si>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</si>
  <si>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</si>
  <si>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</si>
  <si>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</si>
  <si>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</si>
  <si>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</si>
  <si>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</si>
  <si>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</si>
  <si>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</si>
  <si>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</si>
  <si>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</si>
  <si>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</si>
  <si>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</si>
  <si>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</si>
  <si>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</si>
  <si>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</si>
  <si>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</si>
  <si>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</si>
  <si>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</si>
  <si>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</si>
  <si>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</si>
  <si>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</si>
  <si>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</si>
  <si>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</si>
  <si>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</si>
  <si>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</si>
  <si>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</si>
  <si>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</si>
  <si>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</si>
  <si>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</si>
  <si>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</si>
  <si>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</si>
  <si>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</si>
  <si>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</si>
  <si>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</si>
  <si>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</si>
  <si>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</si>
  <si>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</si>
  <si>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</si>
  <si>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</si>
  <si>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</si>
  <si>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</si>
  <si>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</si>
  <si>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</si>
  <si>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</si>
  <si>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</si>
  <si>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</si>
  <si>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</si>
  <si>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</si>
  <si>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</si>
  <si>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</si>
  <si>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</si>
  <si>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</si>
  <si>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</si>
  <si>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</si>
  <si>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</si>
  <si>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</si>
  <si>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</si>
  <si>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</si>
  <si>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</si>
  <si>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</si>
  <si>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</si>
  <si>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</si>
  <si>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</si>
  <si>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</si>
  <si>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</si>
  <si>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</si>
  <si>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</si>
  <si>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</si>
  <si>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</si>
  <si>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</si>
  <si>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</si>
  <si>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</si>
  <si>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</si>
  <si>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</si>
  <si>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</si>
  <si>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</si>
  <si>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</si>
  <si>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</si>
  <si>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</si>
  <si>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</si>
  <si>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</si>
  <si>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</si>
  <si>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</si>
  <si>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</si>
  <si>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</si>
  <si>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</si>
  <si>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</si>
  <si>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</si>
  <si>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</si>
  <si>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</si>
  <si>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</si>
  <si>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</si>
  <si>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</si>
  <si>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</si>
  <si>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</si>
  <si>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</si>
  <si>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</si>
  <si>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</si>
  <si>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</si>
  <si>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</si>
  <si>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</si>
  <si>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</si>
  <si>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</si>
  <si>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</si>
  <si>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</si>
  <si>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</si>
  <si>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</si>
  <si>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</si>
  <si>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</si>
  <si>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</si>
  <si>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</si>
  <si>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</si>
  <si>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</si>
  <si>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</si>
  <si>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</si>
  <si>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</si>
  <si>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</si>
  <si>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</si>
  <si>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</si>
  <si>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</si>
  <si>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</si>
  <si>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</si>
  <si>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</si>
  <si>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</si>
  <si>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</si>
  <si>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</si>
  <si>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</si>
  <si>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</si>
  <si>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</si>
  <si>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</si>
  <si>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</si>
  <si>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</si>
  <si>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</si>
  <si>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</si>
  <si>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</si>
  <si>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</si>
  <si>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</si>
  <si>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</si>
  <si>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</si>
  <si>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</si>
  <si>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</si>
  <si>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</si>
  <si>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</si>
  <si>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</si>
  <si>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</si>
  <si>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</si>
  <si>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</si>
  <si>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</si>
  <si>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</si>
  <si>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</si>
  <si>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</si>
  <si>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</si>
  <si>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</si>
  <si>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</si>
  <si>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</si>
  <si>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</si>
  <si>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</si>
  <si>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</si>
  <si>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</si>
  <si>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</si>
  <si>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</si>
  <si>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</si>
  <si>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</si>
  <si>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</si>
  <si>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</si>
  <si>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</si>
  <si>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</si>
  <si>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</si>
  <si>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</si>
  <si>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</si>
  <si>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</si>
  <si>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</si>
  <si>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</si>
  <si>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</si>
  <si>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</si>
  <si>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</si>
  <si>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</si>
  <si>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</si>
  <si>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</si>
  <si>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</si>
  <si>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</si>
  <si>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</si>
  <si>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</si>
  <si>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</si>
  <si>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</si>
  <si>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</si>
  <si>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</si>
  <si>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</si>
  <si>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</si>
  <si>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</si>
  <si>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</si>
  <si>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</si>
  <si>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</si>
  <si>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</si>
  <si>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</si>
  <si>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</si>
  <si>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</si>
  <si>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</si>
  <si>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</si>
  <si>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</si>
  <si>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</si>
  <si>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</si>
  <si>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</si>
  <si>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</si>
  <si>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</si>
  <si>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</si>
  <si>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</si>
  <si>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</si>
  <si>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</si>
  <si>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</si>
  <si>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</si>
  <si>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</si>
  <si>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</si>
  <si>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</si>
  <si>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</si>
  <si>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</si>
  <si>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</si>
  <si>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</si>
  <si>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</si>
  <si>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</si>
  <si>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</si>
  <si>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</si>
  <si>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</si>
  <si>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</si>
  <si>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</si>
  <si>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</si>
  <si>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</si>
  <si>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</si>
  <si>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</si>
  <si>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</si>
  <si>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</si>
  <si>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</si>
  <si>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</si>
  <si>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</si>
  <si>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</si>
  <si>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</si>
  <si>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</si>
  <si>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</si>
  <si>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</si>
  <si>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</si>
  <si>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</si>
  <si>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</si>
  <si>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</si>
  <si>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</si>
  <si>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</si>
  <si>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</si>
  <si>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</si>
  <si>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</si>
  <si>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</si>
  <si>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</si>
  <si>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</si>
  <si>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</si>
  <si>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</si>
  <si>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</si>
  <si>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</si>
  <si>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</si>
  <si>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</si>
  <si>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</si>
  <si>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</si>
  <si>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</si>
  <si>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</si>
  <si>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</si>
  <si>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</si>
  <si>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</si>
  <si>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</si>
  <si>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</si>
  <si>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</si>
  <si>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</si>
  <si>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</si>
  <si>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</si>
  <si>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</si>
  <si>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</si>
  <si>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</si>
  <si>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</si>
  <si>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</si>
  <si>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</si>
  <si>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</si>
  <si>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</si>
  <si>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</si>
  <si>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</si>
  <si>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</si>
  <si>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</si>
  <si>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</si>
  <si>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</si>
  <si>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</si>
  <si>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</si>
  <si>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</si>
  <si>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</si>
  <si>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</si>
  <si>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</si>
  <si>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</si>
  <si>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</si>
  <si>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</si>
  <si>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</si>
  <si>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</si>
  <si>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</si>
  <si>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</si>
  <si>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</si>
  <si>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</si>
  <si>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</si>
  <si>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</si>
  <si>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</si>
  <si>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</si>
  <si>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</si>
  <si>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</si>
  <si>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</si>
  <si>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</si>
  <si>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</si>
  <si>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</si>
  <si>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</si>
  <si>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</si>
  <si>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</si>
  <si>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</si>
  <si>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</si>
  <si>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</si>
  <si>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</si>
  <si>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</si>
  <si>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</si>
  <si>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</si>
  <si>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</si>
  <si>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</si>
  <si>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</si>
  <si>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</si>
  <si>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</si>
  <si>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</si>
  <si>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</si>
  <si>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</si>
  <si>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</si>
  <si>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</si>
  <si>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</si>
  <si>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</si>
  <si>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</si>
  <si>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</si>
  <si>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</si>
  <si>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</si>
  <si>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</si>
  <si>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</si>
  <si>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</si>
  <si>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</si>
  <si>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</si>
  <si>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</si>
  <si>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</si>
  <si>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</si>
  <si>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</si>
  <si>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</si>
  <si>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</si>
  <si>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</si>
  <si>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</si>
  <si>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</si>
  <si>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</si>
  <si>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</si>
  <si>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</si>
  <si>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</si>
  <si>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</si>
  <si>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</si>
  <si>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</si>
  <si>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</si>
  <si>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</si>
  <si>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subcategory</t>
  </si>
  <si>
    <t>(blank)</t>
  </si>
  <si>
    <t>Count of Customer Name</t>
  </si>
  <si>
    <t>Sales by State</t>
  </si>
  <si>
    <t>Top 5 Customers profit</t>
  </si>
  <si>
    <t>Sales by Month</t>
  </si>
  <si>
    <t>Customer count by year</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</si>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</sst>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 &quot;₹&quot;\ * #,##0.00_ ;_ &quot;₹&quot;\ * \-#,##0.00_ ;_ &quot;₹&quot;\ * &quot;-&quot;??_ ;_ @_ "/>
    <numFmt numFmtId="164" formatCode="_ [$₹-4009]\ * #,##0.00_ ;_ [$₹-4009]\ * \-#,##0.00_ ;_ [$₹-4009]\ * &quot;-&quot;??_ ;_ @_ "/>
  </numFmts>
  <fonts count="2">
    <font>
      <sz val="11"/>
      <color theme="1"/>
      <name val="Aptos Narrow"/>
      <family val="2"/>
      <scheme val="minor"/>
    </font>
    <font>
      <b/>
      <sz val="11"/>
      <color theme="1"/>
      <name val="Aptos Narrow"/>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0" fillId="0" borderId="0" xfId="0" pivotButton="1"/>
    <xf numFmtId="0" fontId="0" fillId="0" borderId="0" xfId="0" applyAlignment="1">
      <alignment horizontal="left"/>
    </xf>
    <xf numFmtId="0" fontId="1" fillId="0" borderId="0" xfId="0" applyFont="1"/>
    <xf numFmtId="44" fontId="0" fillId="0" borderId="0" xfId="0" applyNumberFormat="1"/>
    <xf numFmtId="164" fontId="0" fillId="0" borderId="0" xfId="0" applyNumberFormat="1"/>
    <xf numFmtId="0" fontId="0" fillId="2" borderId="0" xfId="0" applyFill="1"/>
    <xf numFmtId="1" fontId="0" fillId="0" borderId="0" xfId="0" applyNumberFormat="1"/>
  </cellXfs>
  <cellStyles count="1">
    <cellStyle name="Normal" xfId="0" builtinId="0"/>
  </cellStyles>
  <dxfs count="12">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(1).xlsx]Pivot tables!PivotTable3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5">
              <a:lumMod val="75000"/>
            </a:schemeClr>
          </a:solidFill>
          <a:ln>
            <a:noFill/>
          </a:ln>
          <a:effectLst/>
        </c:spPr>
        <c:marker>
          <c:symbol val="none"/>
        </c:marker>
      </c:pivotFmt>
      <c:pivotFmt>
        <c:idx val="8"/>
        <c:spPr>
          <a:solidFill>
            <a:srgbClr val="7030A0"/>
          </a:solidFill>
          <a:ln>
            <a:noFill/>
          </a:ln>
          <a:effectLst/>
        </c:spPr>
        <c:marker>
          <c:symbol val="none"/>
        </c:marker>
      </c:pivotFmt>
    </c:pivotFmts>
    <c:plotArea>
      <c:layout/>
      <c:barChart>
        <c:barDir val="col"/>
        <c:grouping val="clustered"/>
        <c:varyColors val="0"/>
        <c:ser>
          <c:idx val="0"/>
          <c:order val="0"/>
          <c:tx>
            <c:strRef>
              <c:f>'Pivot tables'!$E$3:$E$4</c:f>
              <c:strCache>
                <c:ptCount val="1"/>
                <c:pt idx="0">
                  <c:v>Furniture</c:v>
                </c:pt>
              </c:strCache>
            </c:strRef>
          </c:tx>
          <c:spPr>
            <a:solidFill>
              <a:schemeClr val="accent1"/>
            </a:solidFill>
            <a:ln>
              <a:noFill/>
            </a:ln>
            <a:effectLst/>
          </c:spPr>
          <c:invertIfNegative val="0"/>
          <c:cat>
            <c:strRef>
              <c:f>'Pivot tables'!$D$5:$D$9</c:f>
              <c:strCache>
                <c:ptCount val="4"/>
                <c:pt idx="0">
                  <c:v>2021</c:v>
                </c:pt>
                <c:pt idx="1">
                  <c:v>2022</c:v>
                </c:pt>
                <c:pt idx="2">
                  <c:v>2023</c:v>
                </c:pt>
                <c:pt idx="3">
                  <c:v>2024</c:v>
                </c:pt>
              </c:strCache>
            </c:strRef>
          </c:cat>
          <c:val>
            <c:numRef>
              <c:f>'Pivot tables'!$E$5:$E$9</c:f>
              <c:numCache>
                <c:formatCode>General</c:formatCode>
                <c:ptCount val="4"/>
                <c:pt idx="0">
                  <c:v>5469.7699999999977</c:v>
                </c:pt>
                <c:pt idx="1">
                  <c:v>3015.170000000001</c:v>
                </c:pt>
                <c:pt idx="2">
                  <c:v>6959.9299999999967</c:v>
                </c:pt>
                <c:pt idx="3">
                  <c:v>2443.7999999999993</c:v>
                </c:pt>
              </c:numCache>
            </c:numRef>
          </c:val>
        </c:ser>
        <c:ser>
          <c:idx val="1"/>
          <c:order val="1"/>
          <c:tx>
            <c:strRef>
              <c:f>'Pivot tables'!$F$3:$F$4</c:f>
              <c:strCache>
                <c:ptCount val="1"/>
                <c:pt idx="0">
                  <c:v>Office Supplies</c:v>
                </c:pt>
              </c:strCache>
            </c:strRef>
          </c:tx>
          <c:spPr>
            <a:solidFill>
              <a:schemeClr val="accent5">
                <a:lumMod val="75000"/>
              </a:schemeClr>
            </a:solidFill>
            <a:ln>
              <a:noFill/>
            </a:ln>
            <a:effectLst/>
          </c:spPr>
          <c:invertIfNegative val="0"/>
          <c:cat>
            <c:strRef>
              <c:f>'Pivot tables'!$D$5:$D$9</c:f>
              <c:strCache>
                <c:ptCount val="4"/>
                <c:pt idx="0">
                  <c:v>2021</c:v>
                </c:pt>
                <c:pt idx="1">
                  <c:v>2022</c:v>
                </c:pt>
                <c:pt idx="2">
                  <c:v>2023</c:v>
                </c:pt>
                <c:pt idx="3">
                  <c:v>2024</c:v>
                </c:pt>
              </c:strCache>
            </c:strRef>
          </c:cat>
          <c:val>
            <c:numRef>
              <c:f>'Pivot tables'!$F$5:$F$9</c:f>
              <c:numCache>
                <c:formatCode>General</c:formatCode>
                <c:ptCount val="4"/>
                <c:pt idx="0">
                  <c:v>22593.399999999965</c:v>
                </c:pt>
                <c:pt idx="1">
                  <c:v>25099.55000000001</c:v>
                </c:pt>
                <c:pt idx="2">
                  <c:v>35052.909999999989</c:v>
                </c:pt>
                <c:pt idx="3">
                  <c:v>25464.809999999976</c:v>
                </c:pt>
              </c:numCache>
            </c:numRef>
          </c:val>
        </c:ser>
        <c:ser>
          <c:idx val="2"/>
          <c:order val="2"/>
          <c:tx>
            <c:strRef>
              <c:f>'Pivot tables'!$G$3:$G$4</c:f>
              <c:strCache>
                <c:ptCount val="1"/>
                <c:pt idx="0">
                  <c:v>Technology</c:v>
                </c:pt>
              </c:strCache>
            </c:strRef>
          </c:tx>
          <c:spPr>
            <a:solidFill>
              <a:srgbClr val="7030A0"/>
            </a:solidFill>
            <a:ln>
              <a:noFill/>
            </a:ln>
            <a:effectLst/>
          </c:spPr>
          <c:invertIfNegative val="0"/>
          <c:cat>
            <c:strRef>
              <c:f>'Pivot tables'!$D$5:$D$9</c:f>
              <c:strCache>
                <c:ptCount val="4"/>
                <c:pt idx="0">
                  <c:v>2021</c:v>
                </c:pt>
                <c:pt idx="1">
                  <c:v>2022</c:v>
                </c:pt>
                <c:pt idx="2">
                  <c:v>2023</c:v>
                </c:pt>
                <c:pt idx="3">
                  <c:v>2024</c:v>
                </c:pt>
              </c:strCache>
            </c:strRef>
          </c:cat>
          <c:val>
            <c:numRef>
              <c:f>'Pivot tables'!$G$5:$G$9</c:f>
              <c:numCache>
                <c:formatCode>General</c:formatCode>
                <c:ptCount val="4"/>
                <c:pt idx="0">
                  <c:v>21492.950000000008</c:v>
                </c:pt>
                <c:pt idx="1">
                  <c:v>33503.970000000016</c:v>
                </c:pt>
                <c:pt idx="2">
                  <c:v>39774.099999999984</c:v>
                </c:pt>
                <c:pt idx="3">
                  <c:v>27090.710000000028</c:v>
                </c:pt>
              </c:numCache>
            </c:numRef>
          </c:val>
        </c:ser>
        <c:dLbls>
          <c:showLegendKey val="0"/>
          <c:showVal val="0"/>
          <c:showCatName val="0"/>
          <c:showSerName val="0"/>
          <c:showPercent val="0"/>
          <c:showBubbleSize val="0"/>
        </c:dLbls>
        <c:gapWidth val="151"/>
        <c:overlap val="1"/>
        <c:axId val="-2114075200"/>
        <c:axId val="-2114073568"/>
      </c:barChart>
      <c:catAx>
        <c:axId val="-211407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73568"/>
        <c:crosses val="autoZero"/>
        <c:auto val="1"/>
        <c:lblAlgn val="ctr"/>
        <c:lblOffset val="100"/>
        <c:noMultiLvlLbl val="0"/>
      </c:catAx>
      <c:valAx>
        <c:axId val="-2114073568"/>
        <c:scaling>
          <c:orientation val="minMax"/>
        </c:scaling>
        <c:delete val="1"/>
        <c:axPos val="l"/>
        <c:numFmt formatCode="General" sourceLinked="1"/>
        <c:majorTickMark val="none"/>
        <c:minorTickMark val="none"/>
        <c:tickLblPos val="nextTo"/>
        <c:crossAx val="-21140752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75000"/>
                  </a:schemeClr>
                </a:solidFill>
              </a:rPr>
              <a:t>Sales</a:t>
            </a:r>
            <a:r>
              <a:rPr lang="en-US" b="1" baseline="0">
                <a:solidFill>
                  <a:schemeClr val="accent5">
                    <a:lumMod val="75000"/>
                  </a:schemeClr>
                </a:solidFill>
              </a:rPr>
              <a:t> by Category</a:t>
            </a:r>
            <a:endParaRPr lang="en-US" b="1">
              <a:solidFill>
                <a:schemeClr val="accent5">
                  <a:lumMod val="7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8328175594135716E-2"/>
          <c:y val="0.12159293038010537"/>
          <c:w val="1"/>
          <c:h val="0.6677939279594941"/>
        </c:manualLayout>
      </c:layout>
      <c:lineChart>
        <c:grouping val="standard"/>
        <c:varyColors val="0"/>
        <c:ser>
          <c:idx val="0"/>
          <c:order val="0"/>
          <c:tx>
            <c:strRef>
              <c:f>'Pivot tables'!$N$4</c:f>
              <c:strCache>
                <c:ptCount val="1"/>
                <c:pt idx="0">
                  <c:v>Sales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strRef>
              <c:f>'Pivot tables'!$M$5:$M$21</c:f>
              <c:strCache>
                <c:ptCount val="17"/>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tables'!$N$5:$N$21</c:f>
              <c:numCache>
                <c:formatCode>General</c:formatCode>
                <c:ptCount val="17"/>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smooth val="0"/>
        </c:ser>
        <c:dLbls>
          <c:showLegendKey val="0"/>
          <c:showVal val="0"/>
          <c:showCatName val="0"/>
          <c:showSerName val="0"/>
          <c:showPercent val="0"/>
          <c:showBubbleSize val="0"/>
        </c:dLbls>
        <c:marker val="1"/>
        <c:smooth val="0"/>
        <c:axId val="-2114088256"/>
        <c:axId val="-2114077920"/>
      </c:lineChart>
      <c:catAx>
        <c:axId val="-21140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77920"/>
        <c:crosses val="autoZero"/>
        <c:auto val="1"/>
        <c:lblAlgn val="ctr"/>
        <c:lblOffset val="100"/>
        <c:noMultiLvlLbl val="0"/>
      </c:catAx>
      <c:valAx>
        <c:axId val="-2114077920"/>
        <c:scaling>
          <c:orientation val="minMax"/>
        </c:scaling>
        <c:delete val="1"/>
        <c:axPos val="l"/>
        <c:numFmt formatCode="General" sourceLinked="1"/>
        <c:majorTickMark val="none"/>
        <c:minorTickMark val="none"/>
        <c:tickLblPos val="nextTo"/>
        <c:crossAx val="-2114088256"/>
        <c:crosses val="autoZero"/>
        <c:crossBetween val="between"/>
      </c:valAx>
      <c:spPr>
        <a:noFill/>
        <a:ln>
          <a:noFill/>
        </a:ln>
        <a:effectLst>
          <a:outerShdw blurRad="50800" dist="38100" dir="2700000" algn="tl" rotWithShape="0">
            <a:prstClr val="black">
              <a:alpha val="40000"/>
            </a:prstClr>
          </a:outerShdw>
        </a:effectLst>
      </c:spPr>
    </c:plotArea>
    <c:legend>
      <c:legendPos val="t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and Profit Dashboard Data (1).xlsx]Sheet5!PivotTable7</c:name>
    <c:fmtId val="2"/>
  </c:pivotSource>
  <c:chart>
    <c:title>
      <c:tx>
        <c:rich>
          <a:bodyPr rot="0" spcFirstLastPara="1" vertOverflow="ellipsis" vert="horz" wrap="square" anchor="ctr" anchorCtr="1"/>
          <a:lstStyle/>
          <a:p>
            <a:pPr>
              <a:defRPr sz="1400" b="1" i="0" u="none" strike="noStrike" kern="1200" cap="all" spc="50" baseline="0">
                <a:solidFill>
                  <a:schemeClr val="accent5">
                    <a:lumMod val="75000"/>
                  </a:schemeClr>
                </a:solidFill>
                <a:latin typeface="+mn-lt"/>
                <a:ea typeface="+mn-ea"/>
                <a:cs typeface="+mn-cs"/>
              </a:defRPr>
            </a:pPr>
            <a:r>
              <a:rPr lang="en-US">
                <a:solidFill>
                  <a:schemeClr val="accent5">
                    <a:lumMod val="75000"/>
                  </a:schemeClr>
                </a:solidFill>
              </a:rPr>
              <a:t>customer</a:t>
            </a:r>
            <a:r>
              <a:rPr lang="en-US" baseline="0">
                <a:solidFill>
                  <a:schemeClr val="accent5">
                    <a:lumMod val="75000"/>
                  </a:schemeClr>
                </a:solidFill>
              </a:rPr>
              <a:t> count</a:t>
            </a:r>
            <a:endParaRPr lang="en-US">
              <a:solidFill>
                <a:schemeClr val="accent5">
                  <a:lumMod val="75000"/>
                </a:schemeClr>
              </a:solidFill>
            </a:endParaRP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accent5">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Sheet5!$C$3</c:f>
              <c:strCache>
                <c:ptCount val="1"/>
                <c:pt idx="0">
                  <c:v>Total</c:v>
                </c:pt>
              </c:strCache>
            </c:strRef>
          </c:tx>
          <c:dPt>
            <c:idx val="0"/>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Sheet5!$B$4:$B$8</c:f>
              <c:strCache>
                <c:ptCount val="4"/>
                <c:pt idx="0">
                  <c:v>2021</c:v>
                </c:pt>
                <c:pt idx="1">
                  <c:v>2022</c:v>
                </c:pt>
                <c:pt idx="2">
                  <c:v>2023</c:v>
                </c:pt>
                <c:pt idx="3">
                  <c:v>2024</c:v>
                </c:pt>
              </c:strCache>
            </c:strRef>
          </c:cat>
          <c:val>
            <c:numRef>
              <c:f>Sheet5!$C$4:$C$8</c:f>
              <c:numCache>
                <c:formatCode>General</c:formatCode>
                <c:ptCount val="4"/>
                <c:pt idx="0">
                  <c:v>1992</c:v>
                </c:pt>
                <c:pt idx="1">
                  <c:v>2102</c:v>
                </c:pt>
                <c:pt idx="2">
                  <c:v>2586</c:v>
                </c:pt>
                <c:pt idx="3">
                  <c:v>1634</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and Profit Dashboard Data (1).xlsx]Sheet5!PivotTable9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75000"/>
                  </a:schemeClr>
                </a:solidFill>
              </a:rPr>
              <a:t>TOP 5 CUSTOMERS PROFIT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7651483949121747"/>
          <c:y val="0.26307976720301268"/>
          <c:w val="0.72344881889763779"/>
          <c:h val="0.73353346456692914"/>
        </c:manualLayout>
      </c:layout>
      <c:barChart>
        <c:barDir val="bar"/>
        <c:grouping val="clustered"/>
        <c:varyColors val="0"/>
        <c:ser>
          <c:idx val="0"/>
          <c:order val="0"/>
          <c:tx>
            <c:strRef>
              <c:f>Sheet5!$L$5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Sheet5!$K$6:$K$11</c:f>
              <c:strCache>
                <c:ptCount val="5"/>
                <c:pt idx="0">
                  <c:v>Tamara Chand</c:v>
                </c:pt>
                <c:pt idx="1">
                  <c:v>Raymond Buch</c:v>
                </c:pt>
                <c:pt idx="2">
                  <c:v>Sanjit Chand</c:v>
                </c:pt>
                <c:pt idx="3">
                  <c:v>Adrian Barton</c:v>
                </c:pt>
                <c:pt idx="4">
                  <c:v>Martinez</c:v>
                </c:pt>
              </c:strCache>
            </c:strRef>
          </c:cat>
          <c:val>
            <c:numRef>
              <c:f>Sheet5!$L$6:$L$11</c:f>
              <c:numCache>
                <c:formatCode>General</c:formatCode>
                <c:ptCount val="5"/>
                <c:pt idx="0">
                  <c:v>8981.32</c:v>
                </c:pt>
                <c:pt idx="1">
                  <c:v>6939.17</c:v>
                </c:pt>
                <c:pt idx="2">
                  <c:v>5757.42</c:v>
                </c:pt>
                <c:pt idx="3">
                  <c:v>5202.84</c:v>
                </c:pt>
                <c:pt idx="4">
                  <c:v>3883.0899999999997</c:v>
                </c:pt>
              </c:numCache>
            </c:numRef>
          </c:val>
        </c:ser>
        <c:dLbls>
          <c:dLblPos val="outEnd"/>
          <c:showLegendKey val="0"/>
          <c:showVal val="1"/>
          <c:showCatName val="0"/>
          <c:showSerName val="0"/>
          <c:showPercent val="0"/>
          <c:showBubbleSize val="0"/>
        </c:dLbls>
        <c:gapWidth val="182"/>
        <c:axId val="-2114086624"/>
        <c:axId val="-2114083360"/>
      </c:barChart>
      <c:catAx>
        <c:axId val="-211408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83360"/>
        <c:crosses val="autoZero"/>
        <c:auto val="1"/>
        <c:lblAlgn val="ctr"/>
        <c:lblOffset val="100"/>
        <c:noMultiLvlLbl val="0"/>
      </c:catAx>
      <c:valAx>
        <c:axId val="-2114083360"/>
        <c:scaling>
          <c:orientation val="minMax"/>
        </c:scaling>
        <c:delete val="1"/>
        <c:axPos val="b"/>
        <c:numFmt formatCode="General" sourceLinked="1"/>
        <c:majorTickMark val="none"/>
        <c:minorTickMark val="none"/>
        <c:tickLblPos val="nextTo"/>
        <c:crossAx val="-2114086624"/>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and Profit Dashboard Data (1).xlsx]Sheet5!PivotTable10</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a:t>
            </a:r>
            <a:r>
              <a:rPr lang="en-IN" baseline="0"/>
              <a:t> BY month</a:t>
            </a:r>
            <a:endParaRPr lang="en-IN"/>
          </a:p>
        </c:rich>
      </c:tx>
      <c:layout>
        <c:manualLayout>
          <c:xMode val="edge"/>
          <c:yMode val="edge"/>
          <c:x val="0.39900090826521345"/>
          <c:y val="4.2349677881173926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5"/>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0881017257039057E-2"/>
          <c:y val="0.21429604318328133"/>
          <c:w val="0.96003633060853766"/>
          <c:h val="0.47298514547383702"/>
        </c:manualLayout>
      </c:layout>
      <c:barChart>
        <c:barDir val="col"/>
        <c:grouping val="clustered"/>
        <c:varyColors val="0"/>
        <c:ser>
          <c:idx val="0"/>
          <c:order val="0"/>
          <c:tx>
            <c:strRef>
              <c:f>Sheet5!$O$5</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Sheet5!$N$6:$N$18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Sheet5!$O$6:$O$18</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er>
        <c:dLbls>
          <c:dLblPos val="outEnd"/>
          <c:showLegendKey val="0"/>
          <c:showVal val="1"/>
          <c:showCatName val="0"/>
          <c:showSerName val="0"/>
          <c:showPercent val="0"/>
          <c:showBubbleSize val="0"/>
        </c:dLbls>
        <c:gapWidth val="444"/>
        <c:overlap val="-90"/>
        <c:axId val="-2114082816"/>
        <c:axId val="-2114079552"/>
      </c:barChart>
      <c:catAx>
        <c:axId val="-211408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14079552"/>
        <c:crosses val="autoZero"/>
        <c:auto val="1"/>
        <c:lblAlgn val="ctr"/>
        <c:lblOffset val="100"/>
        <c:noMultiLvlLbl val="0"/>
      </c:catAx>
      <c:valAx>
        <c:axId val="-2114079552"/>
        <c:scaling>
          <c:orientation val="minMax"/>
        </c:scaling>
        <c:delete val="1"/>
        <c:axPos val="l"/>
        <c:numFmt formatCode="General" sourceLinked="1"/>
        <c:majorTickMark val="none"/>
        <c:minorTickMark val="none"/>
        <c:tickLblPos val="nextTo"/>
        <c:crossAx val="-211408281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7</xdr:col>
      <xdr:colOff>590550</xdr:colOff>
      <xdr:row>2</xdr:row>
      <xdr:rowOff>69850</xdr:rowOff>
    </xdr:from>
    <xdr:to>
      <xdr:col>9</xdr:col>
      <xdr:colOff>273050</xdr:colOff>
      <xdr:row>16</xdr:row>
      <xdr:rowOff>20103</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197850" y="425450"/>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698500</xdr:colOff>
      <xdr:row>5</xdr:row>
      <xdr:rowOff>0</xdr:rowOff>
    </xdr:from>
    <xdr:to>
      <xdr:col>12</xdr:col>
      <xdr:colOff>622300</xdr:colOff>
      <xdr:row>18</xdr:row>
      <xdr:rowOff>128053</xdr:rowOff>
    </xdr:to>
    <mc:AlternateContent xmlns:mc="http://schemas.openxmlformats.org/markup-compatibility/2006" xmlns:a14="http://schemas.microsoft.com/office/drawing/2010/main">
      <mc:Choice Requires="a14">
        <xdr:graphicFrame macro="">
          <xdr:nvGraphicFramePr>
            <xdr:cNvPr id="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112500" y="889000"/>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285750</xdr:colOff>
      <xdr:row>5</xdr:row>
      <xdr:rowOff>120650</xdr:rowOff>
    </xdr:from>
    <xdr:to>
      <xdr:col>18</xdr:col>
      <xdr:colOff>133350</xdr:colOff>
      <xdr:row>19</xdr:row>
      <xdr:rowOff>70903</xdr:rowOff>
    </xdr:to>
    <mc:AlternateContent xmlns:mc="http://schemas.openxmlformats.org/markup-compatibility/2006" xmlns:a14="http://schemas.microsoft.com/office/drawing/2010/main">
      <mc:Choice Requires="a14">
        <xdr:graphicFrame macro="">
          <xdr:nvGraphicFramePr>
            <xdr:cNvPr id="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227300" y="1009650"/>
              <a:ext cx="1828800"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50800</xdr:rowOff>
    </xdr:from>
    <xdr:to>
      <xdr:col>18</xdr:col>
      <xdr:colOff>6350</xdr:colOff>
      <xdr:row>40</xdr:row>
      <xdr:rowOff>101600</xdr:rowOff>
    </xdr:to>
    <xdr:sp macro="" textlink="">
      <xdr:nvSpPr>
        <xdr:cNvPr id="4" name="Rectangle 3"/>
        <xdr:cNvSpPr/>
      </xdr:nvSpPr>
      <xdr:spPr>
        <a:xfrm>
          <a:off x="0" y="228600"/>
          <a:ext cx="11893550" cy="6985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120650</xdr:colOff>
      <xdr:row>0</xdr:row>
      <xdr:rowOff>146050</xdr:rowOff>
    </xdr:from>
    <xdr:to>
      <xdr:col>17</xdr:col>
      <xdr:colOff>527050</xdr:colOff>
      <xdr:row>4</xdr:row>
      <xdr:rowOff>114300</xdr:rowOff>
    </xdr:to>
    <xdr:sp macro="" textlink="">
      <xdr:nvSpPr>
        <xdr:cNvPr id="6" name="Rectangle 5"/>
        <xdr:cNvSpPr/>
      </xdr:nvSpPr>
      <xdr:spPr>
        <a:xfrm>
          <a:off x="120650" y="146050"/>
          <a:ext cx="11633200" cy="679450"/>
        </a:xfrm>
        <a:prstGeom prst="rect">
          <a:avLst/>
        </a:prstGeom>
        <a:gradFill>
          <a:gsLst>
            <a:gs pos="0">
              <a:schemeClr val="bg1"/>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a:effectLst>
          <a:glow rad="2286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r>
            <a:rPr lang="en-IN" sz="2400" b="1">
              <a:solidFill>
                <a:schemeClr val="accent5">
                  <a:lumMod val="75000"/>
                </a:schemeClr>
              </a:solidFill>
            </a:rPr>
            <a:t>                 SALES AND PROFIT DASHBOARD</a:t>
          </a:r>
        </a:p>
        <a:p>
          <a:pPr algn="l"/>
          <a:endParaRPr lang="en-IN" sz="2000" b="1">
            <a:solidFill>
              <a:schemeClr val="accent5">
                <a:lumMod val="75000"/>
              </a:schemeClr>
            </a:solidFill>
          </a:endParaRPr>
        </a:p>
      </xdr:txBody>
    </xdr:sp>
    <xdr:clientData/>
  </xdr:twoCellAnchor>
  <xdr:twoCellAnchor>
    <xdr:from>
      <xdr:col>0</xdr:col>
      <xdr:colOff>0</xdr:colOff>
      <xdr:row>5</xdr:row>
      <xdr:rowOff>12700</xdr:rowOff>
    </xdr:from>
    <xdr:to>
      <xdr:col>1</xdr:col>
      <xdr:colOff>635000</xdr:colOff>
      <xdr:row>40</xdr:row>
      <xdr:rowOff>69850</xdr:rowOff>
    </xdr:to>
    <xdr:sp macro="" textlink="">
      <xdr:nvSpPr>
        <xdr:cNvPr id="7" name="Rectangle 6"/>
        <xdr:cNvSpPr/>
      </xdr:nvSpPr>
      <xdr:spPr>
        <a:xfrm>
          <a:off x="0" y="901700"/>
          <a:ext cx="1295400" cy="6280150"/>
        </a:xfrm>
        <a:prstGeom prst="rect">
          <a:avLst/>
        </a:prstGeom>
        <a:gradFill>
          <a:gsLst>
            <a:gs pos="0">
              <a:schemeClr val="bg1"/>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609600</xdr:colOff>
      <xdr:row>5</xdr:row>
      <xdr:rowOff>38100</xdr:rowOff>
    </xdr:from>
    <xdr:to>
      <xdr:col>4</xdr:col>
      <xdr:colOff>88900</xdr:colOff>
      <xdr:row>10</xdr:row>
      <xdr:rowOff>0</xdr:rowOff>
    </xdr:to>
    <xdr:sp macro="" textlink="">
      <xdr:nvSpPr>
        <xdr:cNvPr id="8" name="Rectangle 7"/>
        <xdr:cNvSpPr/>
      </xdr:nvSpPr>
      <xdr:spPr>
        <a:xfrm>
          <a:off x="1270000" y="927100"/>
          <a:ext cx="1460500" cy="850900"/>
        </a:xfrm>
        <a:prstGeom prst="rect">
          <a:avLst/>
        </a:prstGeom>
        <a:gradFill>
          <a:gsLst>
            <a:gs pos="0">
              <a:schemeClr val="bg1"/>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a:effectLst>
          <a:glow rad="2286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400" b="1">
            <a:solidFill>
              <a:schemeClr val="accent5">
                <a:lumMod val="75000"/>
              </a:schemeClr>
            </a:solidFill>
          </a:endParaRPr>
        </a:p>
        <a:p>
          <a:pPr algn="r"/>
          <a:r>
            <a:rPr lang="en-IN" sz="1400" b="1">
              <a:solidFill>
                <a:schemeClr val="accent5">
                  <a:lumMod val="75000"/>
                </a:schemeClr>
              </a:solidFill>
            </a:rPr>
            <a:t>TOTAL SALE</a:t>
          </a:r>
        </a:p>
        <a:p>
          <a:pPr algn="r"/>
          <a:r>
            <a:rPr lang="en-IN" sz="1400" b="1">
              <a:solidFill>
                <a:schemeClr val="accent5">
                  <a:lumMod val="75000"/>
                </a:schemeClr>
              </a:solidFill>
            </a:rPr>
            <a:t>$19,28,888</a:t>
          </a:r>
        </a:p>
      </xdr:txBody>
    </xdr:sp>
    <xdr:clientData/>
  </xdr:twoCellAnchor>
  <xdr:twoCellAnchor>
    <xdr:from>
      <xdr:col>4</xdr:col>
      <xdr:colOff>139700</xdr:colOff>
      <xdr:row>5</xdr:row>
      <xdr:rowOff>44450</xdr:rowOff>
    </xdr:from>
    <xdr:to>
      <xdr:col>6</xdr:col>
      <xdr:colOff>254000</xdr:colOff>
      <xdr:row>10</xdr:row>
      <xdr:rowOff>38100</xdr:rowOff>
    </xdr:to>
    <xdr:sp macro="" textlink="">
      <xdr:nvSpPr>
        <xdr:cNvPr id="9" name="Rectangle 8"/>
        <xdr:cNvSpPr/>
      </xdr:nvSpPr>
      <xdr:spPr>
        <a:xfrm>
          <a:off x="2781300" y="933450"/>
          <a:ext cx="1435100" cy="882650"/>
        </a:xfrm>
        <a:prstGeom prst="rect">
          <a:avLst/>
        </a:prstGeom>
        <a:gradFill>
          <a:gsLst>
            <a:gs pos="0">
              <a:schemeClr val="bg1"/>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a:effectLst>
          <a:glow rad="228600">
            <a:schemeClr val="accent5">
              <a:satMod val="175000"/>
              <a:alpha val="40000"/>
            </a:scheme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accent5">
                  <a:lumMod val="75000"/>
                </a:schemeClr>
              </a:solidFill>
              <a:effectLst/>
              <a:latin typeface="+mn-lt"/>
              <a:ea typeface="+mn-ea"/>
              <a:cs typeface="+mn-cs"/>
            </a:rPr>
            <a:t>TOTAL PROFIT</a:t>
          </a:r>
          <a:endParaRPr lang="en-IN" sz="1400" b="1">
            <a:solidFill>
              <a:schemeClr val="accent5">
                <a:lumMod val="75000"/>
              </a:schemeClr>
            </a:solidFill>
            <a:effectLst/>
          </a:endParaRPr>
        </a:p>
        <a:p>
          <a:pPr algn="l"/>
          <a:r>
            <a:rPr lang="en-IN" sz="1200" b="1">
              <a:solidFill>
                <a:schemeClr val="accent5">
                  <a:lumMod val="75000"/>
                </a:schemeClr>
              </a:solidFill>
            </a:rPr>
            <a:t>$2,47,961</a:t>
          </a:r>
        </a:p>
      </xdr:txBody>
    </xdr:sp>
    <xdr:clientData/>
  </xdr:twoCellAnchor>
  <xdr:twoCellAnchor>
    <xdr:from>
      <xdr:col>6</xdr:col>
      <xdr:colOff>311150</xdr:colOff>
      <xdr:row>5</xdr:row>
      <xdr:rowOff>76200</xdr:rowOff>
    </xdr:from>
    <xdr:to>
      <xdr:col>12</xdr:col>
      <xdr:colOff>603250</xdr:colOff>
      <xdr:row>23</xdr:row>
      <xdr:rowOff>38100</xdr:rowOff>
    </xdr:to>
    <xdr:sp macro="" textlink="">
      <xdr:nvSpPr>
        <xdr:cNvPr id="10" name="Rectangle 9"/>
        <xdr:cNvSpPr/>
      </xdr:nvSpPr>
      <xdr:spPr>
        <a:xfrm>
          <a:off x="4273550" y="965200"/>
          <a:ext cx="4254500" cy="3162300"/>
        </a:xfrm>
        <a:prstGeom prst="rect">
          <a:avLst/>
        </a:prstGeom>
        <a:gradFill>
          <a:gsLst>
            <a:gs pos="0">
              <a:schemeClr val="bg1"/>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a:effectLst>
          <a:glow rad="2286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584200</xdr:colOff>
      <xdr:row>10</xdr:row>
      <xdr:rowOff>82550</xdr:rowOff>
    </xdr:from>
    <xdr:to>
      <xdr:col>6</xdr:col>
      <xdr:colOff>304800</xdr:colOff>
      <xdr:row>23</xdr:row>
      <xdr:rowOff>0</xdr:rowOff>
    </xdr:to>
    <xdr:sp macro="" textlink="">
      <xdr:nvSpPr>
        <xdr:cNvPr id="12" name="Rectangle 11"/>
        <xdr:cNvSpPr/>
      </xdr:nvSpPr>
      <xdr:spPr>
        <a:xfrm>
          <a:off x="1244600" y="1860550"/>
          <a:ext cx="3022600" cy="2228850"/>
        </a:xfrm>
        <a:prstGeom prst="rect">
          <a:avLst/>
        </a:prstGeom>
        <a:gradFill>
          <a:gsLst>
            <a:gs pos="0">
              <a:schemeClr val="bg1"/>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6350</xdr:colOff>
      <xdr:row>23</xdr:row>
      <xdr:rowOff>0</xdr:rowOff>
    </xdr:from>
    <xdr:to>
      <xdr:col>13</xdr:col>
      <xdr:colOff>171450</xdr:colOff>
      <xdr:row>40</xdr:row>
      <xdr:rowOff>95250</xdr:rowOff>
    </xdr:to>
    <xdr:sp macro="" textlink="">
      <xdr:nvSpPr>
        <xdr:cNvPr id="13" name="Rectangle 12"/>
        <xdr:cNvSpPr/>
      </xdr:nvSpPr>
      <xdr:spPr>
        <a:xfrm>
          <a:off x="1327150" y="4089400"/>
          <a:ext cx="7429500" cy="3117850"/>
        </a:xfrm>
        <a:prstGeom prst="rect">
          <a:avLst/>
        </a:prstGeom>
        <a:gradFill>
          <a:gsLst>
            <a:gs pos="0">
              <a:schemeClr val="bg1"/>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88900</xdr:colOff>
      <xdr:row>62</xdr:row>
      <xdr:rowOff>38100</xdr:rowOff>
    </xdr:from>
    <xdr:to>
      <xdr:col>15</xdr:col>
      <xdr:colOff>628650</xdr:colOff>
      <xdr:row>73</xdr:row>
      <xdr:rowOff>120650</xdr:rowOff>
    </xdr:to>
    <xdr:sp macro="" textlink="">
      <xdr:nvSpPr>
        <xdr:cNvPr id="14" name="Rectangle 13"/>
        <xdr:cNvSpPr/>
      </xdr:nvSpPr>
      <xdr:spPr>
        <a:xfrm>
          <a:off x="7353300" y="11061700"/>
          <a:ext cx="3181350" cy="2038350"/>
        </a:xfrm>
        <a:prstGeom prst="rect">
          <a:avLst/>
        </a:prstGeom>
        <a:gradFill>
          <a:gsLst>
            <a:gs pos="0">
              <a:schemeClr val="bg1"/>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476250</xdr:colOff>
      <xdr:row>19</xdr:row>
      <xdr:rowOff>114300</xdr:rowOff>
    </xdr:from>
    <xdr:to>
      <xdr:col>17</xdr:col>
      <xdr:colOff>628650</xdr:colOff>
      <xdr:row>40</xdr:row>
      <xdr:rowOff>88900</xdr:rowOff>
    </xdr:to>
    <xdr:sp macro="" textlink="">
      <xdr:nvSpPr>
        <xdr:cNvPr id="15" name="Rectangle 14"/>
        <xdr:cNvSpPr/>
      </xdr:nvSpPr>
      <xdr:spPr>
        <a:xfrm>
          <a:off x="8401050" y="3492500"/>
          <a:ext cx="3454400" cy="3708400"/>
        </a:xfrm>
        <a:prstGeom prst="rect">
          <a:avLst/>
        </a:prstGeom>
        <a:gradFill>
          <a:gsLst>
            <a:gs pos="0">
              <a:schemeClr val="bg1"/>
            </a:gs>
            <a:gs pos="74000">
              <a:schemeClr val="accent5">
                <a:lumMod val="40000"/>
                <a:lumOff val="60000"/>
              </a:schemeClr>
            </a:gs>
            <a:gs pos="83000">
              <a:schemeClr val="accent5">
                <a:lumMod val="40000"/>
                <a:lumOff val="60000"/>
              </a:schemeClr>
            </a:gs>
            <a:gs pos="100000">
              <a:schemeClr val="accent5">
                <a:lumMod val="60000"/>
                <a:lumOff val="4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279400</xdr:colOff>
      <xdr:row>1</xdr:row>
      <xdr:rowOff>0</xdr:rowOff>
    </xdr:from>
    <xdr:to>
      <xdr:col>4</xdr:col>
      <xdr:colOff>590550</xdr:colOff>
      <xdr:row>4</xdr:row>
      <xdr:rowOff>82550</xdr:rowOff>
    </xdr:to>
    <xdr:pic>
      <xdr:nvPicPr>
        <xdr:cNvPr id="19" name="Picture 18"/>
        <xdr:cNvPicPr>
          <a:picLocks noChangeAspect="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2260600" y="177800"/>
          <a:ext cx="971550" cy="615950"/>
        </a:xfrm>
        <a:prstGeom prst="rect">
          <a:avLst/>
        </a:prstGeom>
      </xdr:spPr>
    </xdr:pic>
    <xdr:clientData/>
  </xdr:twoCellAnchor>
  <xdr:twoCellAnchor>
    <xdr:from>
      <xdr:col>1</xdr:col>
      <xdr:colOff>615950</xdr:colOff>
      <xdr:row>10</xdr:row>
      <xdr:rowOff>107950</xdr:rowOff>
    </xdr:from>
    <xdr:to>
      <xdr:col>6</xdr:col>
      <xdr:colOff>196850</xdr:colOff>
      <xdr:row>22</xdr:row>
      <xdr:rowOff>107950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266700</xdr:colOff>
      <xdr:row>5</xdr:row>
      <xdr:rowOff>25400</xdr:rowOff>
    </xdr:from>
    <xdr:to>
      <xdr:col>12</xdr:col>
      <xdr:colOff>488950</xdr:colOff>
      <xdr:row>22</xdr:row>
      <xdr:rowOff>107950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514350</xdr:colOff>
      <xdr:row>5</xdr:row>
      <xdr:rowOff>120650</xdr:rowOff>
    </xdr:from>
    <xdr:to>
      <xdr:col>17</xdr:col>
      <xdr:colOff>603250</xdr:colOff>
      <xdr:row>19</xdr:row>
      <xdr:rowOff>69850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266700</xdr:colOff>
      <xdr:row>20</xdr:row>
      <xdr:rowOff>95250</xdr:rowOff>
    </xdr:from>
    <xdr:to>
      <xdr:col>17</xdr:col>
      <xdr:colOff>603250</xdr:colOff>
      <xdr:row>39</xdr:row>
      <xdr:rowOff>152400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615950</xdr:colOff>
      <xdr:row>23</xdr:row>
      <xdr:rowOff>152400</xdr:rowOff>
    </xdr:from>
    <xdr:to>
      <xdr:col>12</xdr:col>
      <xdr:colOff>342900</xdr:colOff>
      <xdr:row>40</xdr:row>
      <xdr:rowOff>107950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xdr:row>
      <xdr:rowOff>69850</xdr:rowOff>
    </xdr:from>
    <xdr:to>
      <xdr:col>1</xdr:col>
      <xdr:colOff>565150</xdr:colOff>
      <xdr:row>12</xdr:row>
      <xdr:rowOff>95250</xdr:rowOff>
    </xdr:to>
    <mc:AlternateContent xmlns:mc="http://schemas.openxmlformats.org/markup-compatibility/2006" xmlns:a14="http://schemas.microsoft.com/office/drawing/2010/main">
      <mc:Choice Requires="a14">
        <xdr:graphicFrame macro="">
          <xdr:nvGraphicFramePr>
            <xdr:cNvPr id="25"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958850"/>
              <a:ext cx="122555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152400</xdr:rowOff>
    </xdr:from>
    <xdr:to>
      <xdr:col>1</xdr:col>
      <xdr:colOff>603250</xdr:colOff>
      <xdr:row>40</xdr:row>
      <xdr:rowOff>69850</xdr:rowOff>
    </xdr:to>
    <mc:AlternateContent xmlns:mc="http://schemas.openxmlformats.org/markup-compatibility/2006" xmlns:a14="http://schemas.microsoft.com/office/drawing/2010/main">
      <mc:Choice Requires="a14">
        <xdr:graphicFrame macro="">
          <xdr:nvGraphicFramePr>
            <xdr:cNvPr id="26"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3708400"/>
              <a:ext cx="1263650" cy="347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12</xdr:row>
      <xdr:rowOff>63501</xdr:rowOff>
    </xdr:from>
    <xdr:to>
      <xdr:col>1</xdr:col>
      <xdr:colOff>584200</xdr:colOff>
      <xdr:row>20</xdr:row>
      <xdr:rowOff>127001</xdr:rowOff>
    </xdr:to>
    <mc:AlternateContent xmlns:mc="http://schemas.openxmlformats.org/markup-compatibility/2006" xmlns:a14="http://schemas.microsoft.com/office/drawing/2010/main">
      <mc:Choice Requires="a14">
        <xdr:graphicFrame macro="">
          <xdr:nvGraphicFramePr>
            <xdr:cNvPr id="27"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700" y="2197101"/>
              <a:ext cx="12319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0.2533</cdr:x>
      <cdr:y>0.0506</cdr:y>
    </cdr:from>
    <cdr:to>
      <cdr:x>0.57048</cdr:x>
      <cdr:y>0.25</cdr:y>
    </cdr:to>
    <cdr:sp macro="" textlink="">
      <cdr:nvSpPr>
        <cdr:cNvPr id="2" name="TextBox 1"/>
        <cdr:cNvSpPr txBox="1"/>
      </cdr:nvSpPr>
      <cdr:spPr>
        <a:xfrm xmlns:a="http://schemas.openxmlformats.org/drawingml/2006/main">
          <a:off x="730250" y="107950"/>
          <a:ext cx="914400" cy="4254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0.23789</cdr:x>
      <cdr:y>0</cdr:y>
    </cdr:from>
    <cdr:to>
      <cdr:x>0.55507</cdr:x>
      <cdr:y>0.56548</cdr:y>
    </cdr:to>
    <cdr:sp macro="" textlink="">
      <cdr:nvSpPr>
        <cdr:cNvPr id="3" name="TextBox 2"/>
        <cdr:cNvSpPr txBox="1"/>
      </cdr:nvSpPr>
      <cdr:spPr>
        <a:xfrm xmlns:a="http://schemas.openxmlformats.org/drawingml/2006/main">
          <a:off x="685800" y="0"/>
          <a:ext cx="914400" cy="1206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a:solidFill>
                <a:schemeClr val="accent5">
                  <a:lumMod val="75000"/>
                </a:schemeClr>
              </a:solidFill>
            </a:rPr>
            <a:t>PROFIT BY YEAR</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R NIRANJAN" refreshedDate="46084.830180555553" createdVersion="5" refreshedVersion="5" minRefreshableVersion="3" recordCount="8314">
  <cacheSource type="worksheet">
    <worksheetSource ref="A1:K8315" sheet="Sheet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R NIRANJAN" refreshedDate="46084.85296921296" createdVersion="5" refreshedVersion="5" minRefreshableVersion="3" recordCount="8315">
  <cacheSource type="worksheet">
    <worksheetSource ref="B1:B1048576" sheet="Sheet1"/>
  </cacheSource>
  <cacheFields count="1">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count="8315">
  <r>
    <x v="0"/>
  </r>
  <r>
    <x v="1"/>
  </r>
  <r>
    <x v="1"/>
  </r>
  <r>
    <x v="1"/>
  </r>
  <r>
    <x v="2"/>
  </r>
  <r>
    <x v="3"/>
  </r>
  <r>
    <x v="4"/>
  </r>
  <r>
    <x v="5"/>
  </r>
  <r>
    <x v="5"/>
  </r>
  <r>
    <x v="5"/>
  </r>
  <r>
    <x v="5"/>
  </r>
  <r>
    <x v="5"/>
  </r>
  <r>
    <x v="5"/>
  </r>
  <r>
    <x v="5"/>
  </r>
  <r>
    <x v="6"/>
  </r>
  <r>
    <x v="6"/>
  </r>
  <r>
    <x v="7"/>
  </r>
  <r>
    <x v="7"/>
  </r>
  <r>
    <x v="8"/>
  </r>
  <r>
    <x v="8"/>
  </r>
  <r>
    <x v="9"/>
  </r>
  <r>
    <x v="10"/>
  </r>
  <r>
    <x v="10"/>
  </r>
  <r>
    <x v="10"/>
  </r>
  <r>
    <x v="10"/>
  </r>
  <r>
    <x v="10"/>
  </r>
  <r>
    <x v="11"/>
  </r>
  <r>
    <x v="12"/>
  </r>
  <r>
    <x v="12"/>
  </r>
  <r>
    <x v="12"/>
  </r>
  <r>
    <x v="13"/>
  </r>
  <r>
    <x v="13"/>
  </r>
  <r>
    <x v="14"/>
  </r>
  <r>
    <x v="15"/>
  </r>
  <r>
    <x v="16"/>
  </r>
  <r>
    <x v="16"/>
  </r>
  <r>
    <x v="16"/>
  </r>
  <r>
    <x v="16"/>
  </r>
  <r>
    <x v="17"/>
  </r>
  <r>
    <x v="18"/>
  </r>
  <r>
    <x v="18"/>
  </r>
  <r>
    <x v="18"/>
  </r>
  <r>
    <x v="18"/>
  </r>
  <r>
    <x v="19"/>
  </r>
  <r>
    <x v="19"/>
  </r>
  <r>
    <x v="19"/>
  </r>
  <r>
    <x v="19"/>
  </r>
  <r>
    <x v="19"/>
  </r>
  <r>
    <x v="19"/>
  </r>
  <r>
    <x v="20"/>
  </r>
  <r>
    <x v="20"/>
  </r>
  <r>
    <x v="21"/>
  </r>
  <r>
    <x v="21"/>
  </r>
  <r>
    <x v="21"/>
  </r>
  <r>
    <x v="21"/>
  </r>
  <r>
    <x v="21"/>
  </r>
  <r>
    <x v="21"/>
  </r>
  <r>
    <x v="21"/>
  </r>
  <r>
    <x v="21"/>
  </r>
  <r>
    <x v="22"/>
  </r>
  <r>
    <x v="23"/>
  </r>
  <r>
    <x v="24"/>
  </r>
  <r>
    <x v="25"/>
  </r>
  <r>
    <x v="26"/>
  </r>
  <r>
    <x v="26"/>
  </r>
  <r>
    <x v="26"/>
  </r>
  <r>
    <x v="26"/>
  </r>
  <r>
    <x v="26"/>
  </r>
  <r>
    <x v="26"/>
  </r>
  <r>
    <x v="26"/>
  </r>
  <r>
    <x v="27"/>
  </r>
  <r>
    <x v="27"/>
  </r>
  <r>
    <x v="28"/>
  </r>
  <r>
    <x v="28"/>
  </r>
  <r>
    <x v="28"/>
  </r>
  <r>
    <x v="29"/>
  </r>
  <r>
    <x v="30"/>
  </r>
  <r>
    <x v="30"/>
  </r>
  <r>
    <x v="31"/>
  </r>
  <r>
    <x v="32"/>
  </r>
  <r>
    <x v="33"/>
  </r>
  <r>
    <x v="34"/>
  </r>
  <r>
    <x v="34"/>
  </r>
  <r>
    <x v="23"/>
  </r>
  <r>
    <x v="23"/>
  </r>
  <r>
    <x v="35"/>
  </r>
  <r>
    <x v="35"/>
  </r>
  <r>
    <x v="36"/>
  </r>
  <r>
    <x v="37"/>
  </r>
  <r>
    <x v="37"/>
  </r>
  <r>
    <x v="37"/>
  </r>
  <r>
    <x v="16"/>
  </r>
  <r>
    <x v="38"/>
  </r>
  <r>
    <x v="10"/>
  </r>
  <r>
    <x v="39"/>
  </r>
  <r>
    <x v="40"/>
  </r>
  <r>
    <x v="40"/>
  </r>
  <r>
    <x v="40"/>
  </r>
  <r>
    <x v="41"/>
  </r>
  <r>
    <x v="41"/>
  </r>
  <r>
    <x v="41"/>
  </r>
  <r>
    <x v="41"/>
  </r>
  <r>
    <x v="41"/>
  </r>
  <r>
    <x v="41"/>
  </r>
  <r>
    <x v="42"/>
  </r>
  <r>
    <x v="43"/>
  </r>
  <r>
    <x v="44"/>
  </r>
  <r>
    <x v="44"/>
  </r>
  <r>
    <x v="44"/>
  </r>
  <r>
    <x v="45"/>
  </r>
  <r>
    <x v="46"/>
  </r>
  <r>
    <x v="46"/>
  </r>
  <r>
    <x v="16"/>
  </r>
  <r>
    <x v="47"/>
  </r>
  <r>
    <x v="48"/>
  </r>
  <r>
    <x v="49"/>
  </r>
  <r>
    <x v="49"/>
  </r>
  <r>
    <x v="50"/>
  </r>
  <r>
    <x v="51"/>
  </r>
  <r>
    <x v="52"/>
  </r>
  <r>
    <x v="53"/>
  </r>
  <r>
    <x v="53"/>
  </r>
  <r>
    <x v="54"/>
  </r>
  <r>
    <x v="54"/>
  </r>
  <r>
    <x v="55"/>
  </r>
  <r>
    <x v="56"/>
  </r>
  <r>
    <x v="57"/>
  </r>
  <r>
    <x v="58"/>
  </r>
  <r>
    <x v="58"/>
  </r>
  <r>
    <x v="59"/>
  </r>
  <r>
    <x v="59"/>
  </r>
  <r>
    <x v="59"/>
  </r>
  <r>
    <x v="59"/>
  </r>
  <r>
    <x v="60"/>
  </r>
  <r>
    <x v="60"/>
  </r>
  <r>
    <x v="61"/>
  </r>
  <r>
    <x v="61"/>
  </r>
  <r>
    <x v="62"/>
  </r>
  <r>
    <x v="62"/>
  </r>
  <r>
    <x v="63"/>
  </r>
  <r>
    <x v="64"/>
  </r>
  <r>
    <x v="64"/>
  </r>
  <r>
    <x v="64"/>
  </r>
  <r>
    <x v="65"/>
  </r>
  <r>
    <x v="65"/>
  </r>
  <r>
    <x v="65"/>
  </r>
  <r>
    <x v="66"/>
  </r>
  <r>
    <x v="67"/>
  </r>
  <r>
    <x v="68"/>
  </r>
  <r>
    <x v="42"/>
  </r>
  <r>
    <x v="69"/>
  </r>
  <r>
    <x v="69"/>
  </r>
  <r>
    <x v="69"/>
  </r>
  <r>
    <x v="69"/>
  </r>
  <r>
    <x v="69"/>
  </r>
  <r>
    <x v="48"/>
  </r>
  <r>
    <x v="48"/>
  </r>
  <r>
    <x v="48"/>
  </r>
  <r>
    <x v="70"/>
  </r>
  <r>
    <x v="71"/>
  </r>
  <r>
    <x v="71"/>
  </r>
  <r>
    <x v="71"/>
  </r>
  <r>
    <x v="71"/>
  </r>
  <r>
    <x v="72"/>
  </r>
  <r>
    <x v="73"/>
  </r>
  <r>
    <x v="73"/>
  </r>
  <r>
    <x v="74"/>
  </r>
  <r>
    <x v="74"/>
  </r>
  <r>
    <x v="75"/>
  </r>
  <r>
    <x v="76"/>
  </r>
  <r>
    <x v="76"/>
  </r>
  <r>
    <x v="76"/>
  </r>
  <r>
    <x v="76"/>
  </r>
  <r>
    <x v="77"/>
  </r>
  <r>
    <x v="78"/>
  </r>
  <r>
    <x v="78"/>
  </r>
  <r>
    <x v="79"/>
  </r>
  <r>
    <x v="80"/>
  </r>
  <r>
    <x v="80"/>
  </r>
  <r>
    <x v="80"/>
  </r>
  <r>
    <x v="80"/>
  </r>
  <r>
    <x v="80"/>
  </r>
  <r>
    <x v="81"/>
  </r>
  <r>
    <x v="81"/>
  </r>
  <r>
    <x v="82"/>
  </r>
  <r>
    <x v="83"/>
  </r>
  <r>
    <x v="83"/>
  </r>
  <r>
    <x v="83"/>
  </r>
  <r>
    <x v="83"/>
  </r>
  <r>
    <x v="83"/>
  </r>
  <r>
    <x v="61"/>
  </r>
  <r>
    <x v="84"/>
  </r>
  <r>
    <x v="84"/>
  </r>
  <r>
    <x v="84"/>
  </r>
  <r>
    <x v="84"/>
  </r>
  <r>
    <x v="84"/>
  </r>
  <r>
    <x v="85"/>
  </r>
  <r>
    <x v="85"/>
  </r>
  <r>
    <x v="85"/>
  </r>
  <r>
    <x v="85"/>
  </r>
  <r>
    <x v="85"/>
  </r>
  <r>
    <x v="86"/>
  </r>
  <r>
    <x v="86"/>
  </r>
  <r>
    <x v="86"/>
  </r>
  <r>
    <x v="36"/>
  </r>
  <r>
    <x v="36"/>
  </r>
  <r>
    <x v="36"/>
  </r>
  <r>
    <x v="36"/>
  </r>
  <r>
    <x v="36"/>
  </r>
  <r>
    <x v="87"/>
  </r>
  <r>
    <x v="88"/>
  </r>
  <r>
    <x v="88"/>
  </r>
  <r>
    <x v="88"/>
  </r>
  <r>
    <x v="88"/>
  </r>
  <r>
    <x v="88"/>
  </r>
  <r>
    <x v="88"/>
  </r>
  <r>
    <x v="88"/>
  </r>
  <r>
    <x v="89"/>
  </r>
  <r>
    <x v="90"/>
  </r>
  <r>
    <x v="90"/>
  </r>
  <r>
    <x v="90"/>
  </r>
  <r>
    <x v="91"/>
  </r>
  <r>
    <x v="91"/>
  </r>
  <r>
    <x v="91"/>
  </r>
  <r>
    <x v="91"/>
  </r>
  <r>
    <x v="91"/>
  </r>
  <r>
    <x v="91"/>
  </r>
  <r>
    <x v="91"/>
  </r>
  <r>
    <x v="92"/>
  </r>
  <r>
    <x v="92"/>
  </r>
  <r>
    <x v="93"/>
  </r>
  <r>
    <x v="94"/>
  </r>
  <r>
    <x v="94"/>
  </r>
  <r>
    <x v="94"/>
  </r>
  <r>
    <x v="94"/>
  </r>
  <r>
    <x v="94"/>
  </r>
  <r>
    <x v="95"/>
  </r>
  <r>
    <x v="95"/>
  </r>
  <r>
    <x v="95"/>
  </r>
  <r>
    <x v="96"/>
  </r>
  <r>
    <x v="96"/>
  </r>
  <r>
    <x v="97"/>
  </r>
  <r>
    <x v="97"/>
  </r>
  <r>
    <x v="98"/>
  </r>
  <r>
    <x v="99"/>
  </r>
  <r>
    <x v="99"/>
  </r>
  <r>
    <x v="100"/>
  </r>
  <r>
    <x v="101"/>
  </r>
  <r>
    <x v="102"/>
  </r>
  <r>
    <x v="86"/>
  </r>
  <r>
    <x v="103"/>
  </r>
  <r>
    <x v="103"/>
  </r>
  <r>
    <x v="103"/>
  </r>
  <r>
    <x v="103"/>
  </r>
  <r>
    <x v="104"/>
  </r>
  <r>
    <x v="105"/>
  </r>
  <r>
    <x v="105"/>
  </r>
  <r>
    <x v="105"/>
  </r>
  <r>
    <x v="106"/>
  </r>
  <r>
    <x v="107"/>
  </r>
  <r>
    <x v="107"/>
  </r>
  <r>
    <x v="108"/>
  </r>
  <r>
    <x v="109"/>
  </r>
  <r>
    <x v="110"/>
  </r>
  <r>
    <x v="111"/>
  </r>
  <r>
    <x v="112"/>
  </r>
  <r>
    <x v="112"/>
  </r>
  <r>
    <x v="113"/>
  </r>
  <r>
    <x v="41"/>
  </r>
  <r>
    <x v="114"/>
  </r>
  <r>
    <x v="114"/>
  </r>
  <r>
    <x v="114"/>
  </r>
  <r>
    <x v="115"/>
  </r>
  <r>
    <x v="116"/>
  </r>
  <r>
    <x v="116"/>
  </r>
  <r>
    <x v="117"/>
  </r>
  <r>
    <x v="118"/>
  </r>
  <r>
    <x v="118"/>
  </r>
  <r>
    <x v="119"/>
  </r>
  <r>
    <x v="120"/>
  </r>
  <r>
    <x v="120"/>
  </r>
  <r>
    <x v="120"/>
  </r>
  <r>
    <x v="111"/>
  </r>
  <r>
    <x v="111"/>
  </r>
  <r>
    <x v="121"/>
  </r>
  <r>
    <x v="121"/>
  </r>
  <r>
    <x v="122"/>
  </r>
  <r>
    <x v="122"/>
  </r>
  <r>
    <x v="122"/>
  </r>
  <r>
    <x v="66"/>
  </r>
  <r>
    <x v="66"/>
  </r>
  <r>
    <x v="123"/>
  </r>
  <r>
    <x v="124"/>
  </r>
  <r>
    <x v="124"/>
  </r>
  <r>
    <x v="124"/>
  </r>
  <r>
    <x v="125"/>
  </r>
  <r>
    <x v="102"/>
  </r>
  <r>
    <x v="102"/>
  </r>
  <r>
    <x v="126"/>
  </r>
  <r>
    <x v="127"/>
  </r>
  <r>
    <x v="127"/>
  </r>
  <r>
    <x v="127"/>
  </r>
  <r>
    <x v="127"/>
  </r>
  <r>
    <x v="128"/>
  </r>
  <r>
    <x v="129"/>
  </r>
  <r>
    <x v="129"/>
  </r>
  <r>
    <x v="129"/>
  </r>
  <r>
    <x v="129"/>
  </r>
  <r>
    <x v="129"/>
  </r>
  <r>
    <x v="130"/>
  </r>
  <r>
    <x v="130"/>
  </r>
  <r>
    <x v="131"/>
  </r>
  <r>
    <x v="131"/>
  </r>
  <r>
    <x v="131"/>
  </r>
  <r>
    <x v="131"/>
  </r>
  <r>
    <x v="132"/>
  </r>
  <r>
    <x v="133"/>
  </r>
  <r>
    <x v="26"/>
  </r>
  <r>
    <x v="26"/>
  </r>
  <r>
    <x v="26"/>
  </r>
  <r>
    <x v="134"/>
  </r>
  <r>
    <x v="134"/>
  </r>
  <r>
    <x v="135"/>
  </r>
  <r>
    <x v="135"/>
  </r>
  <r>
    <x v="135"/>
  </r>
  <r>
    <x v="135"/>
  </r>
  <r>
    <x v="136"/>
  </r>
  <r>
    <x v="136"/>
  </r>
  <r>
    <x v="136"/>
  </r>
  <r>
    <x v="137"/>
  </r>
  <r>
    <x v="138"/>
  </r>
  <r>
    <x v="138"/>
  </r>
  <r>
    <x v="139"/>
  </r>
  <r>
    <x v="139"/>
  </r>
  <r>
    <x v="140"/>
  </r>
  <r>
    <x v="140"/>
  </r>
  <r>
    <x v="141"/>
  </r>
  <r>
    <x v="142"/>
  </r>
  <r>
    <x v="39"/>
  </r>
  <r>
    <x v="39"/>
  </r>
  <r>
    <x v="143"/>
  </r>
  <r>
    <x v="144"/>
  </r>
  <r>
    <x v="144"/>
  </r>
  <r>
    <x v="144"/>
  </r>
  <r>
    <x v="144"/>
  </r>
  <r>
    <x v="145"/>
  </r>
  <r>
    <x v="146"/>
  </r>
  <r>
    <x v="147"/>
  </r>
  <r>
    <x v="147"/>
  </r>
  <r>
    <x v="147"/>
  </r>
  <r>
    <x v="148"/>
  </r>
  <r>
    <x v="148"/>
  </r>
  <r>
    <x v="148"/>
  </r>
  <r>
    <x v="148"/>
  </r>
  <r>
    <x v="149"/>
  </r>
  <r>
    <x v="150"/>
  </r>
  <r>
    <x v="104"/>
  </r>
  <r>
    <x v="104"/>
  </r>
  <r>
    <x v="104"/>
  </r>
  <r>
    <x v="104"/>
  </r>
  <r>
    <x v="151"/>
  </r>
  <r>
    <x v="152"/>
  </r>
  <r>
    <x v="152"/>
  </r>
  <r>
    <x v="153"/>
  </r>
  <r>
    <x v="154"/>
  </r>
  <r>
    <x v="154"/>
  </r>
  <r>
    <x v="154"/>
  </r>
  <r>
    <x v="154"/>
  </r>
  <r>
    <x v="111"/>
  </r>
  <r>
    <x v="111"/>
  </r>
  <r>
    <x v="111"/>
  </r>
  <r>
    <x v="111"/>
  </r>
  <r>
    <x v="155"/>
  </r>
  <r>
    <x v="156"/>
  </r>
  <r>
    <x v="156"/>
  </r>
  <r>
    <x v="9"/>
  </r>
  <r>
    <x v="9"/>
  </r>
  <r>
    <x v="9"/>
  </r>
  <r>
    <x v="157"/>
  </r>
  <r>
    <x v="158"/>
  </r>
  <r>
    <x v="159"/>
  </r>
  <r>
    <x v="160"/>
  </r>
  <r>
    <x v="160"/>
  </r>
  <r>
    <x v="161"/>
  </r>
  <r>
    <x v="162"/>
  </r>
  <r>
    <x v="162"/>
  </r>
  <r>
    <x v="162"/>
  </r>
  <r>
    <x v="39"/>
  </r>
  <r>
    <x v="163"/>
  </r>
  <r>
    <x v="163"/>
  </r>
  <r>
    <x v="164"/>
  </r>
  <r>
    <x v="165"/>
  </r>
  <r>
    <x v="165"/>
  </r>
  <r>
    <x v="165"/>
  </r>
  <r>
    <x v="166"/>
  </r>
  <r>
    <x v="166"/>
  </r>
  <r>
    <x v="167"/>
  </r>
  <r>
    <x v="167"/>
  </r>
  <r>
    <x v="168"/>
  </r>
  <r>
    <x v="168"/>
  </r>
  <r>
    <x v="168"/>
  </r>
  <r>
    <x v="168"/>
  </r>
  <r>
    <x v="169"/>
  </r>
  <r>
    <x v="169"/>
  </r>
  <r>
    <x v="169"/>
  </r>
  <r>
    <x v="170"/>
  </r>
  <r>
    <x v="171"/>
  </r>
  <r>
    <x v="172"/>
  </r>
  <r>
    <x v="173"/>
  </r>
  <r>
    <x v="173"/>
  </r>
  <r>
    <x v="174"/>
  </r>
  <r>
    <x v="174"/>
  </r>
  <r>
    <x v="175"/>
  </r>
  <r>
    <x v="51"/>
  </r>
  <r>
    <x v="176"/>
  </r>
  <r>
    <x v="176"/>
  </r>
  <r>
    <x v="177"/>
  </r>
  <r>
    <x v="178"/>
  </r>
  <r>
    <x v="179"/>
  </r>
  <r>
    <x v="180"/>
  </r>
  <r>
    <x v="180"/>
  </r>
  <r>
    <x v="181"/>
  </r>
  <r>
    <x v="182"/>
  </r>
  <r>
    <x v="115"/>
  </r>
  <r>
    <x v="115"/>
  </r>
  <r>
    <x v="183"/>
  </r>
  <r>
    <x v="183"/>
  </r>
  <r>
    <x v="184"/>
  </r>
  <r>
    <x v="184"/>
  </r>
  <r>
    <x v="184"/>
  </r>
  <r>
    <x v="185"/>
  </r>
  <r>
    <x v="121"/>
  </r>
  <r>
    <x v="186"/>
  </r>
  <r>
    <x v="186"/>
  </r>
  <r>
    <x v="187"/>
  </r>
  <r>
    <x v="188"/>
  </r>
  <r>
    <x v="188"/>
  </r>
  <r>
    <x v="189"/>
  </r>
  <r>
    <x v="189"/>
  </r>
  <r>
    <x v="189"/>
  </r>
  <r>
    <x v="189"/>
  </r>
  <r>
    <x v="73"/>
  </r>
  <r>
    <x v="190"/>
  </r>
  <r>
    <x v="190"/>
  </r>
  <r>
    <x v="191"/>
  </r>
  <r>
    <x v="191"/>
  </r>
  <r>
    <x v="191"/>
  </r>
  <r>
    <x v="191"/>
  </r>
  <r>
    <x v="170"/>
  </r>
  <r>
    <x v="170"/>
  </r>
  <r>
    <x v="192"/>
  </r>
  <r>
    <x v="192"/>
  </r>
  <r>
    <x v="193"/>
  </r>
  <r>
    <x v="193"/>
  </r>
  <r>
    <x v="193"/>
  </r>
  <r>
    <x v="193"/>
  </r>
  <r>
    <x v="194"/>
  </r>
  <r>
    <x v="194"/>
  </r>
  <r>
    <x v="194"/>
  </r>
  <r>
    <x v="195"/>
  </r>
  <r>
    <x v="196"/>
  </r>
  <r>
    <x v="197"/>
  </r>
  <r>
    <x v="198"/>
  </r>
  <r>
    <x v="198"/>
  </r>
  <r>
    <x v="19"/>
  </r>
  <r>
    <x v="73"/>
  </r>
  <r>
    <x v="199"/>
  </r>
  <r>
    <x v="200"/>
  </r>
  <r>
    <x v="200"/>
  </r>
  <r>
    <x v="201"/>
  </r>
  <r>
    <x v="160"/>
  </r>
  <r>
    <x v="160"/>
  </r>
  <r>
    <x v="202"/>
  </r>
  <r>
    <x v="203"/>
  </r>
  <r>
    <x v="204"/>
  </r>
  <r>
    <x v="205"/>
  </r>
  <r>
    <x v="206"/>
  </r>
  <r>
    <x v="207"/>
  </r>
  <r>
    <x v="207"/>
  </r>
  <r>
    <x v="208"/>
  </r>
  <r>
    <x v="209"/>
  </r>
  <r>
    <x v="210"/>
  </r>
  <r>
    <x v="211"/>
  </r>
  <r>
    <x v="211"/>
  </r>
  <r>
    <x v="211"/>
  </r>
  <r>
    <x v="212"/>
  </r>
  <r>
    <x v="212"/>
  </r>
  <r>
    <x v="212"/>
  </r>
  <r>
    <x v="212"/>
  </r>
  <r>
    <x v="213"/>
  </r>
  <r>
    <x v="213"/>
  </r>
  <r>
    <x v="214"/>
  </r>
  <r>
    <x v="215"/>
  </r>
  <r>
    <x v="215"/>
  </r>
  <r>
    <x v="215"/>
  </r>
  <r>
    <x v="175"/>
  </r>
  <r>
    <x v="175"/>
  </r>
  <r>
    <x v="175"/>
  </r>
  <r>
    <x v="175"/>
  </r>
  <r>
    <x v="216"/>
  </r>
  <r>
    <x v="216"/>
  </r>
  <r>
    <x v="177"/>
  </r>
  <r>
    <x v="177"/>
  </r>
  <r>
    <x v="177"/>
  </r>
  <r>
    <x v="15"/>
  </r>
  <r>
    <x v="217"/>
  </r>
  <r>
    <x v="217"/>
  </r>
  <r>
    <x v="217"/>
  </r>
  <r>
    <x v="218"/>
  </r>
  <r>
    <x v="219"/>
  </r>
  <r>
    <x v="219"/>
  </r>
  <r>
    <x v="220"/>
  </r>
  <r>
    <x v="44"/>
  </r>
  <r>
    <x v="44"/>
  </r>
  <r>
    <x v="44"/>
  </r>
  <r>
    <x v="221"/>
  </r>
  <r>
    <x v="222"/>
  </r>
  <r>
    <x v="147"/>
  </r>
  <r>
    <x v="147"/>
  </r>
  <r>
    <x v="147"/>
  </r>
  <r>
    <x v="223"/>
  </r>
  <r>
    <x v="223"/>
  </r>
  <r>
    <x v="164"/>
  </r>
  <r>
    <x v="164"/>
  </r>
  <r>
    <x v="224"/>
  </r>
  <r>
    <x v="225"/>
  </r>
  <r>
    <x v="225"/>
  </r>
  <r>
    <x v="226"/>
  </r>
  <r>
    <x v="227"/>
  </r>
  <r>
    <x v="228"/>
  </r>
  <r>
    <x v="229"/>
  </r>
  <r>
    <x v="230"/>
  </r>
  <r>
    <x v="230"/>
  </r>
  <r>
    <x v="230"/>
  </r>
  <r>
    <x v="230"/>
  </r>
  <r>
    <x v="231"/>
  </r>
  <r>
    <x v="232"/>
  </r>
  <r>
    <x v="232"/>
  </r>
  <r>
    <x v="233"/>
  </r>
  <r>
    <x v="233"/>
  </r>
  <r>
    <x v="233"/>
  </r>
  <r>
    <x v="233"/>
  </r>
  <r>
    <x v="233"/>
  </r>
  <r>
    <x v="234"/>
  </r>
  <r>
    <x v="234"/>
  </r>
  <r>
    <x v="235"/>
  </r>
  <r>
    <x v="235"/>
  </r>
  <r>
    <x v="87"/>
  </r>
  <r>
    <x v="87"/>
  </r>
  <r>
    <x v="79"/>
  </r>
  <r>
    <x v="79"/>
  </r>
  <r>
    <x v="149"/>
  </r>
  <r>
    <x v="149"/>
  </r>
  <r>
    <x v="149"/>
  </r>
  <r>
    <x v="236"/>
  </r>
  <r>
    <x v="237"/>
  </r>
  <r>
    <x v="238"/>
  </r>
  <r>
    <x v="238"/>
  </r>
  <r>
    <x v="238"/>
  </r>
  <r>
    <x v="114"/>
  </r>
  <r>
    <x v="239"/>
  </r>
  <r>
    <x v="239"/>
  </r>
  <r>
    <x v="239"/>
  </r>
  <r>
    <x v="239"/>
  </r>
  <r>
    <x v="240"/>
  </r>
  <r>
    <x v="241"/>
  </r>
  <r>
    <x v="241"/>
  </r>
  <r>
    <x v="241"/>
  </r>
  <r>
    <x v="242"/>
  </r>
  <r>
    <x v="242"/>
  </r>
  <r>
    <x v="243"/>
  </r>
  <r>
    <x v="149"/>
  </r>
  <r>
    <x v="149"/>
  </r>
  <r>
    <x v="244"/>
  </r>
  <r>
    <x v="245"/>
  </r>
  <r>
    <x v="246"/>
  </r>
  <r>
    <x v="124"/>
  </r>
  <r>
    <x v="247"/>
  </r>
  <r>
    <x v="247"/>
  </r>
  <r>
    <x v="248"/>
  </r>
  <r>
    <x v="248"/>
  </r>
  <r>
    <x v="248"/>
  </r>
  <r>
    <x v="248"/>
  </r>
  <r>
    <x v="248"/>
  </r>
  <r>
    <x v="248"/>
  </r>
  <r>
    <x v="248"/>
  </r>
  <r>
    <x v="249"/>
  </r>
  <r>
    <x v="249"/>
  </r>
  <r>
    <x v="249"/>
  </r>
  <r>
    <x v="250"/>
  </r>
  <r>
    <x v="250"/>
  </r>
  <r>
    <x v="251"/>
  </r>
  <r>
    <x v="93"/>
  </r>
  <r>
    <x v="93"/>
  </r>
  <r>
    <x v="93"/>
  </r>
  <r>
    <x v="252"/>
  </r>
  <r>
    <x v="76"/>
  </r>
  <r>
    <x v="253"/>
  </r>
  <r>
    <x v="254"/>
  </r>
  <r>
    <x v="254"/>
  </r>
  <r>
    <x v="254"/>
  </r>
  <r>
    <x v="255"/>
  </r>
  <r>
    <x v="256"/>
  </r>
  <r>
    <x v="74"/>
  </r>
  <r>
    <x v="74"/>
  </r>
  <r>
    <x v="74"/>
  </r>
  <r>
    <x v="257"/>
  </r>
  <r>
    <x v="258"/>
  </r>
  <r>
    <x v="258"/>
  </r>
  <r>
    <x v="258"/>
  </r>
  <r>
    <x v="259"/>
  </r>
  <r>
    <x v="260"/>
  </r>
  <r>
    <x v="66"/>
  </r>
  <r>
    <x v="66"/>
  </r>
  <r>
    <x v="66"/>
  </r>
  <r>
    <x v="66"/>
  </r>
  <r>
    <x v="66"/>
  </r>
  <r>
    <x v="66"/>
  </r>
  <r>
    <x v="66"/>
  </r>
  <r>
    <x v="261"/>
  </r>
  <r>
    <x v="261"/>
  </r>
  <r>
    <x v="201"/>
  </r>
  <r>
    <x v="201"/>
  </r>
  <r>
    <x v="201"/>
  </r>
  <r>
    <x v="56"/>
  </r>
  <r>
    <x v="56"/>
  </r>
  <r>
    <x v="195"/>
  </r>
  <r>
    <x v="149"/>
  </r>
  <r>
    <x v="149"/>
  </r>
  <r>
    <x v="262"/>
  </r>
  <r>
    <x v="262"/>
  </r>
  <r>
    <x v="262"/>
  </r>
  <r>
    <x v="262"/>
  </r>
  <r>
    <x v="262"/>
  </r>
  <r>
    <x v="262"/>
  </r>
  <r>
    <x v="263"/>
  </r>
  <r>
    <x v="263"/>
  </r>
  <r>
    <x v="263"/>
  </r>
  <r>
    <x v="229"/>
  </r>
  <r>
    <x v="264"/>
  </r>
  <r>
    <x v="265"/>
  </r>
  <r>
    <x v="265"/>
  </r>
  <r>
    <x v="266"/>
  </r>
  <r>
    <x v="266"/>
  </r>
  <r>
    <x v="266"/>
  </r>
  <r>
    <x v="263"/>
  </r>
  <r>
    <x v="267"/>
  </r>
  <r>
    <x v="268"/>
  </r>
  <r>
    <x v="268"/>
  </r>
  <r>
    <x v="269"/>
  </r>
  <r>
    <x v="270"/>
  </r>
  <r>
    <x v="271"/>
  </r>
  <r>
    <x v="271"/>
  </r>
  <r>
    <x v="271"/>
  </r>
  <r>
    <x v="272"/>
  </r>
  <r>
    <x v="272"/>
  </r>
  <r>
    <x v="272"/>
  </r>
  <r>
    <x v="273"/>
  </r>
  <r>
    <x v="273"/>
  </r>
  <r>
    <x v="273"/>
  </r>
  <r>
    <x v="273"/>
  </r>
  <r>
    <x v="273"/>
  </r>
  <r>
    <x v="274"/>
  </r>
  <r>
    <x v="275"/>
  </r>
  <r>
    <x v="232"/>
  </r>
  <r>
    <x v="276"/>
  </r>
  <r>
    <x v="277"/>
  </r>
  <r>
    <x v="278"/>
  </r>
  <r>
    <x v="279"/>
  </r>
  <r>
    <x v="279"/>
  </r>
  <r>
    <x v="178"/>
  </r>
  <r>
    <x v="178"/>
  </r>
  <r>
    <x v="280"/>
  </r>
  <r>
    <x v="112"/>
  </r>
  <r>
    <x v="230"/>
  </r>
  <r>
    <x v="230"/>
  </r>
  <r>
    <x v="281"/>
  </r>
  <r>
    <x v="281"/>
  </r>
  <r>
    <x v="124"/>
  </r>
  <r>
    <x v="124"/>
  </r>
  <r>
    <x v="282"/>
  </r>
  <r>
    <x v="282"/>
  </r>
  <r>
    <x v="283"/>
  </r>
  <r>
    <x v="283"/>
  </r>
  <r>
    <x v="283"/>
  </r>
  <r>
    <x v="284"/>
  </r>
  <r>
    <x v="284"/>
  </r>
  <r>
    <x v="285"/>
  </r>
  <r>
    <x v="17"/>
  </r>
  <r>
    <x v="286"/>
  </r>
  <r>
    <x v="286"/>
  </r>
  <r>
    <x v="286"/>
  </r>
  <r>
    <x v="287"/>
  </r>
  <r>
    <x v="288"/>
  </r>
  <r>
    <x v="154"/>
  </r>
  <r>
    <x v="154"/>
  </r>
  <r>
    <x v="289"/>
  </r>
  <r>
    <x v="290"/>
  </r>
  <r>
    <x v="290"/>
  </r>
  <r>
    <x v="291"/>
  </r>
  <r>
    <x v="291"/>
  </r>
  <r>
    <x v="292"/>
  </r>
  <r>
    <x v="292"/>
  </r>
  <r>
    <x v="292"/>
  </r>
  <r>
    <x v="293"/>
  </r>
  <r>
    <x v="293"/>
  </r>
  <r>
    <x v="293"/>
  </r>
  <r>
    <x v="293"/>
  </r>
  <r>
    <x v="174"/>
  </r>
  <r>
    <x v="174"/>
  </r>
  <r>
    <x v="174"/>
  </r>
  <r>
    <x v="174"/>
  </r>
  <r>
    <x v="174"/>
  </r>
  <r>
    <x v="46"/>
  </r>
  <r>
    <x v="46"/>
  </r>
  <r>
    <x v="294"/>
  </r>
  <r>
    <x v="294"/>
  </r>
  <r>
    <x v="295"/>
  </r>
  <r>
    <x v="296"/>
  </r>
  <r>
    <x v="296"/>
  </r>
  <r>
    <x v="151"/>
  </r>
  <r>
    <x v="151"/>
  </r>
  <r>
    <x v="68"/>
  </r>
  <r>
    <x v="68"/>
  </r>
  <r>
    <x v="297"/>
  </r>
  <r>
    <x v="297"/>
  </r>
  <r>
    <x v="298"/>
  </r>
  <r>
    <x v="298"/>
  </r>
  <r>
    <x v="298"/>
  </r>
  <r>
    <x v="298"/>
  </r>
  <r>
    <x v="271"/>
  </r>
  <r>
    <x v="299"/>
  </r>
  <r>
    <x v="299"/>
  </r>
  <r>
    <x v="300"/>
  </r>
  <r>
    <x v="43"/>
  </r>
  <r>
    <x v="43"/>
  </r>
  <r>
    <x v="43"/>
  </r>
  <r>
    <x v="43"/>
  </r>
  <r>
    <x v="301"/>
  </r>
  <r>
    <x v="302"/>
  </r>
  <r>
    <x v="197"/>
  </r>
  <r>
    <x v="197"/>
  </r>
  <r>
    <x v="303"/>
  </r>
  <r>
    <x v="304"/>
  </r>
  <r>
    <x v="305"/>
  </r>
  <r>
    <x v="305"/>
  </r>
  <r>
    <x v="305"/>
  </r>
  <r>
    <x v="305"/>
  </r>
  <r>
    <x v="306"/>
  </r>
  <r>
    <x v="307"/>
  </r>
  <r>
    <x v="307"/>
  </r>
  <r>
    <x v="307"/>
  </r>
  <r>
    <x v="308"/>
  </r>
  <r>
    <x v="308"/>
  </r>
  <r>
    <x v="309"/>
  </r>
  <r>
    <x v="309"/>
  </r>
  <r>
    <x v="309"/>
  </r>
  <r>
    <x v="309"/>
  </r>
  <r>
    <x v="310"/>
  </r>
  <r>
    <x v="310"/>
  </r>
  <r>
    <x v="104"/>
  </r>
  <r>
    <x v="104"/>
  </r>
  <r>
    <x v="104"/>
  </r>
  <r>
    <x v="104"/>
  </r>
  <r>
    <x v="311"/>
  </r>
  <r>
    <x v="311"/>
  </r>
  <r>
    <x v="311"/>
  </r>
  <r>
    <x v="312"/>
  </r>
  <r>
    <x v="312"/>
  </r>
  <r>
    <x v="312"/>
  </r>
  <r>
    <x v="312"/>
  </r>
  <r>
    <x v="190"/>
  </r>
  <r>
    <x v="313"/>
  </r>
  <r>
    <x v="313"/>
  </r>
  <r>
    <x v="201"/>
  </r>
  <r>
    <x v="201"/>
  </r>
  <r>
    <x v="201"/>
  </r>
  <r>
    <x v="201"/>
  </r>
  <r>
    <x v="314"/>
  </r>
  <r>
    <x v="315"/>
  </r>
  <r>
    <x v="316"/>
  </r>
  <r>
    <x v="316"/>
  </r>
  <r>
    <x v="316"/>
  </r>
  <r>
    <x v="316"/>
  </r>
  <r>
    <x v="199"/>
  </r>
  <r>
    <x v="317"/>
  </r>
  <r>
    <x v="317"/>
  </r>
  <r>
    <x v="317"/>
  </r>
  <r>
    <x v="317"/>
  </r>
  <r>
    <x v="318"/>
  </r>
  <r>
    <x v="318"/>
  </r>
  <r>
    <x v="318"/>
  </r>
  <r>
    <x v="58"/>
  </r>
  <r>
    <x v="58"/>
  </r>
  <r>
    <x v="319"/>
  </r>
  <r>
    <x v="111"/>
  </r>
  <r>
    <x v="111"/>
  </r>
  <r>
    <x v="111"/>
  </r>
  <r>
    <x v="111"/>
  </r>
  <r>
    <x v="4"/>
  </r>
  <r>
    <x v="320"/>
  </r>
  <r>
    <x v="320"/>
  </r>
  <r>
    <x v="320"/>
  </r>
  <r>
    <x v="321"/>
  </r>
  <r>
    <x v="321"/>
  </r>
  <r>
    <x v="321"/>
  </r>
  <r>
    <x v="321"/>
  </r>
  <r>
    <x v="321"/>
  </r>
  <r>
    <x v="321"/>
  </r>
  <r>
    <x v="60"/>
  </r>
  <r>
    <x v="322"/>
  </r>
  <r>
    <x v="323"/>
  </r>
  <r>
    <x v="74"/>
  </r>
  <r>
    <x v="74"/>
  </r>
  <r>
    <x v="74"/>
  </r>
  <r>
    <x v="324"/>
  </r>
  <r>
    <x v="302"/>
  </r>
  <r>
    <x v="302"/>
  </r>
  <r>
    <x v="302"/>
  </r>
  <r>
    <x v="302"/>
  </r>
  <r>
    <x v="325"/>
  </r>
  <r>
    <x v="326"/>
  </r>
  <r>
    <x v="327"/>
  </r>
  <r>
    <x v="327"/>
  </r>
  <r>
    <x v="327"/>
  </r>
  <r>
    <x v="206"/>
  </r>
  <r>
    <x v="206"/>
  </r>
  <r>
    <x v="328"/>
  </r>
  <r>
    <x v="328"/>
  </r>
  <r>
    <x v="328"/>
  </r>
  <r>
    <x v="292"/>
  </r>
  <r>
    <x v="329"/>
  </r>
  <r>
    <x v="329"/>
  </r>
  <r>
    <x v="329"/>
  </r>
  <r>
    <x v="329"/>
  </r>
  <r>
    <x v="329"/>
  </r>
  <r>
    <x v="329"/>
  </r>
  <r>
    <x v="44"/>
  </r>
  <r>
    <x v="44"/>
  </r>
  <r>
    <x v="44"/>
  </r>
  <r>
    <x v="330"/>
  </r>
  <r>
    <x v="330"/>
  </r>
  <r>
    <x v="330"/>
  </r>
  <r>
    <x v="331"/>
  </r>
  <r>
    <x v="331"/>
  </r>
  <r>
    <x v="331"/>
  </r>
  <r>
    <x v="332"/>
  </r>
  <r>
    <x v="332"/>
  </r>
  <r>
    <x v="332"/>
  </r>
  <r>
    <x v="153"/>
  </r>
  <r>
    <x v="153"/>
  </r>
  <r>
    <x v="333"/>
  </r>
  <r>
    <x v="334"/>
  </r>
  <r>
    <x v="335"/>
  </r>
  <r>
    <x v="336"/>
  </r>
  <r>
    <x v="336"/>
  </r>
  <r>
    <x v="336"/>
  </r>
  <r>
    <x v="336"/>
  </r>
  <r>
    <x v="337"/>
  </r>
  <r>
    <x v="337"/>
  </r>
  <r>
    <x v="51"/>
  </r>
  <r>
    <x v="338"/>
  </r>
  <r>
    <x v="338"/>
  </r>
  <r>
    <x v="338"/>
  </r>
  <r>
    <x v="338"/>
  </r>
  <r>
    <x v="338"/>
  </r>
  <r>
    <x v="339"/>
  </r>
  <r>
    <x v="340"/>
  </r>
  <r>
    <x v="340"/>
  </r>
  <r>
    <x v="341"/>
  </r>
  <r>
    <x v="342"/>
  </r>
  <r>
    <x v="342"/>
  </r>
  <r>
    <x v="343"/>
  </r>
  <r>
    <x v="344"/>
  </r>
  <r>
    <x v="310"/>
  </r>
  <r>
    <x v="310"/>
  </r>
  <r>
    <x v="193"/>
  </r>
  <r>
    <x v="193"/>
  </r>
  <r>
    <x v="193"/>
  </r>
  <r>
    <x v="318"/>
  </r>
  <r>
    <x v="345"/>
  </r>
  <r>
    <x v="346"/>
  </r>
  <r>
    <x v="346"/>
  </r>
  <r>
    <x v="347"/>
  </r>
  <r>
    <x v="347"/>
  </r>
  <r>
    <x v="347"/>
  </r>
  <r>
    <x v="347"/>
  </r>
  <r>
    <x v="347"/>
  </r>
  <r>
    <x v="347"/>
  </r>
  <r>
    <x v="172"/>
  </r>
  <r>
    <x v="172"/>
  </r>
  <r>
    <x v="348"/>
  </r>
  <r>
    <x v="349"/>
  </r>
  <r>
    <x v="349"/>
  </r>
  <r>
    <x v="349"/>
  </r>
  <r>
    <x v="12"/>
  </r>
  <r>
    <x v="12"/>
  </r>
  <r>
    <x v="12"/>
  </r>
  <r>
    <x v="12"/>
  </r>
  <r>
    <x v="12"/>
  </r>
  <r>
    <x v="350"/>
  </r>
  <r>
    <x v="127"/>
  </r>
  <r>
    <x v="351"/>
  </r>
  <r>
    <x v="351"/>
  </r>
  <r>
    <x v="351"/>
  </r>
  <r>
    <x v="351"/>
  </r>
  <r>
    <x v="232"/>
  </r>
  <r>
    <x v="282"/>
  </r>
  <r>
    <x v="282"/>
  </r>
  <r>
    <x v="352"/>
  </r>
  <r>
    <x v="17"/>
  </r>
  <r>
    <x v="17"/>
  </r>
  <r>
    <x v="183"/>
  </r>
  <r>
    <x v="353"/>
  </r>
  <r>
    <x v="317"/>
  </r>
  <r>
    <x v="317"/>
  </r>
  <r>
    <x v="317"/>
  </r>
  <r>
    <x v="354"/>
  </r>
  <r>
    <x v="355"/>
  </r>
  <r>
    <x v="259"/>
  </r>
  <r>
    <x v="356"/>
  </r>
  <r>
    <x v="356"/>
  </r>
  <r>
    <x v="357"/>
  </r>
  <r>
    <x v="358"/>
  </r>
  <r>
    <x v="358"/>
  </r>
  <r>
    <x v="358"/>
  </r>
  <r>
    <x v="358"/>
  </r>
  <r>
    <x v="358"/>
  </r>
  <r>
    <x v="358"/>
  </r>
  <r>
    <x v="234"/>
  </r>
  <r>
    <x v="357"/>
  </r>
  <r>
    <x v="359"/>
  </r>
  <r>
    <x v="359"/>
  </r>
  <r>
    <x v="360"/>
  </r>
  <r>
    <x v="361"/>
  </r>
  <r>
    <x v="361"/>
  </r>
  <r>
    <x v="361"/>
  </r>
  <r>
    <x v="361"/>
  </r>
  <r>
    <x v="362"/>
  </r>
  <r>
    <x v="362"/>
  </r>
  <r>
    <x v="362"/>
  </r>
  <r>
    <x v="362"/>
  </r>
  <r>
    <x v="363"/>
  </r>
  <r>
    <x v="364"/>
  </r>
  <r>
    <x v="364"/>
  </r>
  <r>
    <x v="14"/>
  </r>
  <r>
    <x v="14"/>
  </r>
  <r>
    <x v="14"/>
  </r>
  <r>
    <x v="365"/>
  </r>
  <r>
    <x v="366"/>
  </r>
  <r>
    <x v="366"/>
  </r>
  <r>
    <x v="366"/>
  </r>
  <r>
    <x v="367"/>
  </r>
  <r>
    <x v="367"/>
  </r>
  <r>
    <x v="368"/>
  </r>
  <r>
    <x v="368"/>
  </r>
  <r>
    <x v="368"/>
  </r>
  <r>
    <x v="369"/>
  </r>
  <r>
    <x v="369"/>
  </r>
  <r>
    <x v="369"/>
  </r>
  <r>
    <x v="13"/>
  </r>
  <r>
    <x v="370"/>
  </r>
  <r>
    <x v="370"/>
  </r>
  <r>
    <x v="371"/>
  </r>
  <r>
    <x v="371"/>
  </r>
  <r>
    <x v="371"/>
  </r>
  <r>
    <x v="372"/>
  </r>
  <r>
    <x v="372"/>
  </r>
  <r>
    <x v="373"/>
  </r>
  <r>
    <x v="374"/>
  </r>
  <r>
    <x v="304"/>
  </r>
  <r>
    <x v="304"/>
  </r>
  <r>
    <x v="352"/>
  </r>
  <r>
    <x v="352"/>
  </r>
  <r>
    <x v="176"/>
  </r>
  <r>
    <x v="176"/>
  </r>
  <r>
    <x v="68"/>
  </r>
  <r>
    <x v="375"/>
  </r>
  <r>
    <x v="375"/>
  </r>
  <r>
    <x v="107"/>
  </r>
  <r>
    <x v="340"/>
  </r>
  <r>
    <x v="42"/>
  </r>
  <r>
    <x v="240"/>
  </r>
  <r>
    <x v="156"/>
  </r>
  <r>
    <x v="376"/>
  </r>
  <r>
    <x v="377"/>
  </r>
  <r>
    <x v="378"/>
  </r>
  <r>
    <x v="379"/>
  </r>
  <r>
    <x v="379"/>
  </r>
  <r>
    <x v="191"/>
  </r>
  <r>
    <x v="191"/>
  </r>
  <r>
    <x v="191"/>
  </r>
  <r>
    <x v="191"/>
  </r>
  <r>
    <x v="23"/>
  </r>
  <r>
    <x v="23"/>
  </r>
  <r>
    <x v="23"/>
  </r>
  <r>
    <x v="23"/>
  </r>
  <r>
    <x v="23"/>
  </r>
  <r>
    <x v="380"/>
  </r>
  <r>
    <x v="381"/>
  </r>
  <r>
    <x v="381"/>
  </r>
  <r>
    <x v="381"/>
  </r>
  <r>
    <x v="381"/>
  </r>
  <r>
    <x v="381"/>
  </r>
  <r>
    <x v="81"/>
  </r>
  <r>
    <x v="81"/>
  </r>
  <r>
    <x v="81"/>
  </r>
  <r>
    <x v="81"/>
  </r>
  <r>
    <x v="382"/>
  </r>
  <r>
    <x v="382"/>
  </r>
  <r>
    <x v="382"/>
  </r>
  <r>
    <x v="228"/>
  </r>
  <r>
    <x v="228"/>
  </r>
  <r>
    <x v="228"/>
  </r>
  <r>
    <x v="383"/>
  </r>
  <r>
    <x v="383"/>
  </r>
  <r>
    <x v="383"/>
  </r>
  <r>
    <x v="383"/>
  </r>
  <r>
    <x v="383"/>
  </r>
  <r>
    <x v="383"/>
  </r>
  <r>
    <x v="383"/>
  </r>
  <r>
    <x v="333"/>
  </r>
  <r>
    <x v="384"/>
  </r>
  <r>
    <x v="385"/>
  </r>
  <r>
    <x v="385"/>
  </r>
  <r>
    <x v="285"/>
  </r>
  <r>
    <x v="285"/>
  </r>
  <r>
    <x v="285"/>
  </r>
  <r>
    <x v="207"/>
  </r>
  <r>
    <x v="207"/>
  </r>
  <r>
    <x v="386"/>
  </r>
  <r>
    <x v="387"/>
  </r>
  <r>
    <x v="387"/>
  </r>
  <r>
    <x v="387"/>
  </r>
  <r>
    <x v="387"/>
  </r>
  <r>
    <x v="388"/>
  </r>
  <r>
    <x v="388"/>
  </r>
  <r>
    <x v="388"/>
  </r>
  <r>
    <x v="367"/>
  </r>
  <r>
    <x v="367"/>
  </r>
  <r>
    <x v="18"/>
  </r>
  <r>
    <x v="389"/>
  </r>
  <r>
    <x v="390"/>
  </r>
  <r>
    <x v="390"/>
  </r>
  <r>
    <x v="390"/>
  </r>
  <r>
    <x v="390"/>
  </r>
  <r>
    <x v="391"/>
  </r>
  <r>
    <x v="391"/>
  </r>
  <r>
    <x v="391"/>
  </r>
  <r>
    <x v="391"/>
  </r>
  <r>
    <x v="392"/>
  </r>
  <r>
    <x v="155"/>
  </r>
  <r>
    <x v="155"/>
  </r>
  <r>
    <x v="393"/>
  </r>
  <r>
    <x v="163"/>
  </r>
  <r>
    <x v="68"/>
  </r>
  <r>
    <x v="68"/>
  </r>
  <r>
    <x v="394"/>
  </r>
  <r>
    <x v="394"/>
  </r>
  <r>
    <x v="395"/>
  </r>
  <r>
    <x v="26"/>
  </r>
  <r>
    <x v="396"/>
  </r>
  <r>
    <x v="396"/>
  </r>
  <r>
    <x v="396"/>
  </r>
  <r>
    <x v="397"/>
  </r>
  <r>
    <x v="192"/>
  </r>
  <r>
    <x v="398"/>
  </r>
  <r>
    <x v="398"/>
  </r>
  <r>
    <x v="398"/>
  </r>
  <r>
    <x v="398"/>
  </r>
  <r>
    <x v="399"/>
  </r>
  <r>
    <x v="400"/>
  </r>
  <r>
    <x v="401"/>
  </r>
  <r>
    <x v="401"/>
  </r>
  <r>
    <x v="284"/>
  </r>
  <r>
    <x v="402"/>
  </r>
  <r>
    <x v="288"/>
  </r>
  <r>
    <x v="352"/>
  </r>
  <r>
    <x v="218"/>
  </r>
  <r>
    <x v="218"/>
  </r>
  <r>
    <x v="218"/>
  </r>
  <r>
    <x v="218"/>
  </r>
  <r>
    <x v="218"/>
  </r>
  <r>
    <x v="218"/>
  </r>
  <r>
    <x v="218"/>
  </r>
  <r>
    <x v="218"/>
  </r>
  <r>
    <x v="403"/>
  </r>
  <r>
    <x v="403"/>
  </r>
  <r>
    <x v="404"/>
  </r>
  <r>
    <x v="404"/>
  </r>
  <r>
    <x v="273"/>
  </r>
  <r>
    <x v="273"/>
  </r>
  <r>
    <x v="405"/>
  </r>
  <r>
    <x v="405"/>
  </r>
  <r>
    <x v="406"/>
  </r>
  <r>
    <x v="406"/>
  </r>
  <r>
    <x v="406"/>
  </r>
  <r>
    <x v="406"/>
  </r>
  <r>
    <x v="406"/>
  </r>
  <r>
    <x v="406"/>
  </r>
  <r>
    <x v="406"/>
  </r>
  <r>
    <x v="134"/>
  </r>
  <r>
    <x v="134"/>
  </r>
  <r>
    <x v="134"/>
  </r>
  <r>
    <x v="134"/>
  </r>
  <r>
    <x v="407"/>
  </r>
  <r>
    <x v="116"/>
  </r>
  <r>
    <x v="116"/>
  </r>
  <r>
    <x v="211"/>
  </r>
  <r>
    <x v="408"/>
  </r>
  <r>
    <x v="388"/>
  </r>
  <r>
    <x v="388"/>
  </r>
  <r>
    <x v="84"/>
  </r>
  <r>
    <x v="84"/>
  </r>
  <r>
    <x v="84"/>
  </r>
  <r>
    <x v="84"/>
  </r>
  <r>
    <x v="245"/>
  </r>
  <r>
    <x v="409"/>
  </r>
  <r>
    <x v="409"/>
  </r>
  <r>
    <x v="409"/>
  </r>
  <r>
    <x v="409"/>
  </r>
  <r>
    <x v="409"/>
  </r>
  <r>
    <x v="409"/>
  </r>
  <r>
    <x v="191"/>
  </r>
  <r>
    <x v="191"/>
  </r>
  <r>
    <x v="410"/>
  </r>
  <r>
    <x v="154"/>
  </r>
  <r>
    <x v="154"/>
  </r>
  <r>
    <x v="183"/>
  </r>
  <r>
    <x v="411"/>
  </r>
  <r>
    <x v="412"/>
  </r>
  <r>
    <x v="37"/>
  </r>
  <r>
    <x v="413"/>
  </r>
  <r>
    <x v="414"/>
  </r>
  <r>
    <x v="414"/>
  </r>
  <r>
    <x v="159"/>
  </r>
  <r>
    <x v="415"/>
  </r>
  <r>
    <x v="415"/>
  </r>
  <r>
    <x v="416"/>
  </r>
  <r>
    <x v="416"/>
  </r>
  <r>
    <x v="416"/>
  </r>
  <r>
    <x v="417"/>
  </r>
  <r>
    <x v="417"/>
  </r>
  <r>
    <x v="418"/>
  </r>
  <r>
    <x v="363"/>
  </r>
  <r>
    <x v="363"/>
  </r>
  <r>
    <x v="363"/>
  </r>
  <r>
    <x v="363"/>
  </r>
  <r>
    <x v="363"/>
  </r>
  <r>
    <x v="363"/>
  </r>
  <r>
    <x v="419"/>
  </r>
  <r>
    <x v="419"/>
  </r>
  <r>
    <x v="291"/>
  </r>
  <r>
    <x v="291"/>
  </r>
  <r>
    <x v="291"/>
  </r>
  <r>
    <x v="221"/>
  </r>
  <r>
    <x v="221"/>
  </r>
  <r>
    <x v="221"/>
  </r>
  <r>
    <x v="221"/>
  </r>
  <r>
    <x v="221"/>
  </r>
  <r>
    <x v="221"/>
  </r>
  <r>
    <x v="338"/>
  </r>
  <r>
    <x v="338"/>
  </r>
  <r>
    <x v="179"/>
  </r>
  <r>
    <x v="420"/>
  </r>
  <r>
    <x v="421"/>
  </r>
  <r>
    <x v="389"/>
  </r>
  <r>
    <x v="422"/>
  </r>
  <r>
    <x v="145"/>
  </r>
  <r>
    <x v="145"/>
  </r>
  <r>
    <x v="423"/>
  </r>
  <r>
    <x v="423"/>
  </r>
  <r>
    <x v="423"/>
  </r>
  <r>
    <x v="423"/>
  </r>
  <r>
    <x v="291"/>
  </r>
  <r>
    <x v="291"/>
  </r>
  <r>
    <x v="43"/>
  </r>
  <r>
    <x v="42"/>
  </r>
  <r>
    <x v="42"/>
  </r>
  <r>
    <x v="42"/>
  </r>
  <r>
    <x v="42"/>
  </r>
  <r>
    <x v="412"/>
  </r>
  <r>
    <x v="424"/>
  </r>
  <r>
    <x v="425"/>
  </r>
  <r>
    <x v="426"/>
  </r>
  <r>
    <x v="426"/>
  </r>
  <r>
    <x v="427"/>
  </r>
  <r>
    <x v="428"/>
  </r>
  <r>
    <x v="428"/>
  </r>
  <r>
    <x v="428"/>
  </r>
  <r>
    <x v="428"/>
  </r>
  <r>
    <x v="429"/>
  </r>
  <r>
    <x v="388"/>
  </r>
  <r>
    <x v="418"/>
  </r>
  <r>
    <x v="430"/>
  </r>
  <r>
    <x v="431"/>
  </r>
  <r>
    <x v="432"/>
  </r>
  <r>
    <x v="432"/>
  </r>
  <r>
    <x v="71"/>
  </r>
  <r>
    <x v="71"/>
  </r>
  <r>
    <x v="71"/>
  </r>
  <r>
    <x v="163"/>
  </r>
  <r>
    <x v="163"/>
  </r>
  <r>
    <x v="163"/>
  </r>
  <r>
    <x v="13"/>
  </r>
  <r>
    <x v="93"/>
  </r>
  <r>
    <x v="433"/>
  </r>
  <r>
    <x v="433"/>
  </r>
  <r>
    <x v="434"/>
  </r>
  <r>
    <x v="435"/>
  </r>
  <r>
    <x v="435"/>
  </r>
  <r>
    <x v="21"/>
  </r>
  <r>
    <x v="358"/>
  </r>
  <r>
    <x v="358"/>
  </r>
  <r>
    <x v="358"/>
  </r>
  <r>
    <x v="358"/>
  </r>
  <r>
    <x v="358"/>
  </r>
  <r>
    <x v="436"/>
  </r>
  <r>
    <x v="436"/>
  </r>
  <r>
    <x v="436"/>
  </r>
  <r>
    <x v="436"/>
  </r>
  <r>
    <x v="436"/>
  </r>
  <r>
    <x v="436"/>
  </r>
  <r>
    <x v="367"/>
  </r>
  <r>
    <x v="367"/>
  </r>
  <r>
    <x v="437"/>
  </r>
  <r>
    <x v="437"/>
  </r>
  <r>
    <x v="437"/>
  </r>
  <r>
    <x v="437"/>
  </r>
  <r>
    <x v="438"/>
  </r>
  <r>
    <x v="438"/>
  </r>
  <r>
    <x v="277"/>
  </r>
  <r>
    <x v="346"/>
  </r>
  <r>
    <x v="439"/>
  </r>
  <r>
    <x v="440"/>
  </r>
  <r>
    <x v="223"/>
  </r>
  <r>
    <x v="441"/>
  </r>
  <r>
    <x v="82"/>
  </r>
  <r>
    <x v="442"/>
  </r>
  <r>
    <x v="442"/>
  </r>
  <r>
    <x v="442"/>
  </r>
  <r>
    <x v="442"/>
  </r>
  <r>
    <x v="442"/>
  </r>
  <r>
    <x v="442"/>
  </r>
  <r>
    <x v="442"/>
  </r>
  <r>
    <x v="443"/>
  </r>
  <r>
    <x v="444"/>
  </r>
  <r>
    <x v="444"/>
  </r>
  <r>
    <x v="421"/>
  </r>
  <r>
    <x v="421"/>
  </r>
  <r>
    <x v="445"/>
  </r>
  <r>
    <x v="445"/>
  </r>
  <r>
    <x v="445"/>
  </r>
  <r>
    <x v="446"/>
  </r>
  <r>
    <x v="446"/>
  </r>
  <r>
    <x v="446"/>
  </r>
  <r>
    <x v="446"/>
  </r>
  <r>
    <x v="446"/>
  </r>
  <r>
    <x v="447"/>
  </r>
  <r>
    <x v="447"/>
  </r>
  <r>
    <x v="448"/>
  </r>
  <r>
    <x v="393"/>
  </r>
  <r>
    <x v="449"/>
  </r>
  <r>
    <x v="348"/>
  </r>
  <r>
    <x v="21"/>
  </r>
  <r>
    <x v="450"/>
  </r>
  <r>
    <x v="448"/>
  </r>
  <r>
    <x v="379"/>
  </r>
  <r>
    <x v="376"/>
  </r>
  <r>
    <x v="130"/>
  </r>
  <r>
    <x v="419"/>
  </r>
  <r>
    <x v="416"/>
  </r>
  <r>
    <x v="244"/>
  </r>
  <r>
    <x v="373"/>
  </r>
  <r>
    <x v="373"/>
  </r>
  <r>
    <x v="451"/>
  </r>
  <r>
    <x v="451"/>
  </r>
  <r>
    <x v="26"/>
  </r>
  <r>
    <x v="71"/>
  </r>
  <r>
    <x v="71"/>
  </r>
  <r>
    <x v="71"/>
  </r>
  <r>
    <x v="71"/>
  </r>
  <r>
    <x v="77"/>
  </r>
  <r>
    <x v="77"/>
  </r>
  <r>
    <x v="452"/>
  </r>
  <r>
    <x v="453"/>
  </r>
  <r>
    <x v="453"/>
  </r>
  <r>
    <x v="222"/>
  </r>
  <r>
    <x v="222"/>
  </r>
  <r>
    <x v="454"/>
  </r>
  <r>
    <x v="454"/>
  </r>
  <r>
    <x v="159"/>
  </r>
  <r>
    <x v="159"/>
  </r>
  <r>
    <x v="83"/>
  </r>
  <r>
    <x v="416"/>
  </r>
  <r>
    <x v="416"/>
  </r>
  <r>
    <x v="455"/>
  </r>
  <r>
    <x v="456"/>
  </r>
  <r>
    <x v="456"/>
  </r>
  <r>
    <x v="456"/>
  </r>
  <r>
    <x v="456"/>
  </r>
  <r>
    <x v="44"/>
  </r>
  <r>
    <x v="44"/>
  </r>
  <r>
    <x v="457"/>
  </r>
  <r>
    <x v="415"/>
  </r>
  <r>
    <x v="415"/>
  </r>
  <r>
    <x v="415"/>
  </r>
  <r>
    <x v="415"/>
  </r>
  <r>
    <x v="458"/>
  </r>
  <r>
    <x v="458"/>
  </r>
  <r>
    <x v="459"/>
  </r>
  <r>
    <x v="459"/>
  </r>
  <r>
    <x v="32"/>
  </r>
  <r>
    <x v="32"/>
  </r>
  <r>
    <x v="32"/>
  </r>
  <r>
    <x v="460"/>
  </r>
  <r>
    <x v="460"/>
  </r>
  <r>
    <x v="460"/>
  </r>
  <r>
    <x v="275"/>
  </r>
  <r>
    <x v="461"/>
  </r>
  <r>
    <x v="461"/>
  </r>
  <r>
    <x v="462"/>
  </r>
  <r>
    <x v="462"/>
  </r>
  <r>
    <x v="463"/>
  </r>
  <r>
    <x v="463"/>
  </r>
  <r>
    <x v="438"/>
  </r>
  <r>
    <x v="464"/>
  </r>
  <r>
    <x v="464"/>
  </r>
  <r>
    <x v="464"/>
  </r>
  <r>
    <x v="150"/>
  </r>
  <r>
    <x v="150"/>
  </r>
  <r>
    <x v="150"/>
  </r>
  <r>
    <x v="465"/>
  </r>
  <r>
    <x v="466"/>
  </r>
  <r>
    <x v="466"/>
  </r>
  <r>
    <x v="467"/>
  </r>
  <r>
    <x v="468"/>
  </r>
  <r>
    <x v="468"/>
  </r>
  <r>
    <x v="468"/>
  </r>
  <r>
    <x v="468"/>
  </r>
  <r>
    <x v="468"/>
  </r>
  <r>
    <x v="469"/>
  </r>
  <r>
    <x v="99"/>
  </r>
  <r>
    <x v="470"/>
  </r>
  <r>
    <x v="470"/>
  </r>
  <r>
    <x v="471"/>
  </r>
  <r>
    <x v="471"/>
  </r>
  <r>
    <x v="471"/>
  </r>
  <r>
    <x v="471"/>
  </r>
  <r>
    <x v="471"/>
  </r>
  <r>
    <x v="463"/>
  </r>
  <r>
    <x v="463"/>
  </r>
  <r>
    <x v="472"/>
  </r>
  <r>
    <x v="136"/>
  </r>
  <r>
    <x v="136"/>
  </r>
  <r>
    <x v="136"/>
  </r>
  <r>
    <x v="473"/>
  </r>
  <r>
    <x v="430"/>
  </r>
  <r>
    <x v="474"/>
  </r>
  <r>
    <x v="158"/>
  </r>
  <r>
    <x v="358"/>
  </r>
  <r>
    <x v="160"/>
  </r>
  <r>
    <x v="216"/>
  </r>
  <r>
    <x v="216"/>
  </r>
  <r>
    <x v="475"/>
  </r>
  <r>
    <x v="475"/>
  </r>
  <r>
    <x v="476"/>
  </r>
  <r>
    <x v="476"/>
  </r>
  <r>
    <x v="477"/>
  </r>
  <r>
    <x v="477"/>
  </r>
  <r>
    <x v="477"/>
  </r>
  <r>
    <x v="477"/>
  </r>
  <r>
    <x v="477"/>
  </r>
  <r>
    <x v="478"/>
  </r>
  <r>
    <x v="52"/>
  </r>
  <r>
    <x v="479"/>
  </r>
  <r>
    <x v="479"/>
  </r>
  <r>
    <x v="480"/>
  </r>
  <r>
    <x v="480"/>
  </r>
  <r>
    <x v="480"/>
  </r>
  <r>
    <x v="480"/>
  </r>
  <r>
    <x v="480"/>
  </r>
  <r>
    <x v="480"/>
  </r>
  <r>
    <x v="480"/>
  </r>
  <r>
    <x v="480"/>
  </r>
  <r>
    <x v="480"/>
  </r>
  <r>
    <x v="481"/>
  </r>
  <r>
    <x v="481"/>
  </r>
  <r>
    <x v="481"/>
  </r>
  <r>
    <x v="481"/>
  </r>
  <r>
    <x v="481"/>
  </r>
  <r>
    <x v="481"/>
  </r>
  <r>
    <x v="481"/>
  </r>
  <r>
    <x v="482"/>
  </r>
  <r>
    <x v="8"/>
  </r>
  <r>
    <x v="483"/>
  </r>
  <r>
    <x v="277"/>
  </r>
  <r>
    <x v="277"/>
  </r>
  <r>
    <x v="11"/>
  </r>
  <r>
    <x v="11"/>
  </r>
  <r>
    <x v="484"/>
  </r>
  <r>
    <x v="484"/>
  </r>
  <r>
    <x v="484"/>
  </r>
  <r>
    <x v="484"/>
  </r>
  <r>
    <x v="436"/>
  </r>
  <r>
    <x v="4"/>
  </r>
  <r>
    <x v="4"/>
  </r>
  <r>
    <x v="485"/>
  </r>
  <r>
    <x v="485"/>
  </r>
  <r>
    <x v="392"/>
  </r>
  <r>
    <x v="392"/>
  </r>
  <r>
    <x v="392"/>
  </r>
  <r>
    <x v="486"/>
  </r>
  <r>
    <x v="400"/>
  </r>
  <r>
    <x v="400"/>
  </r>
  <r>
    <x v="400"/>
  </r>
  <r>
    <x v="310"/>
  </r>
  <r>
    <x v="310"/>
  </r>
  <r>
    <x v="487"/>
  </r>
  <r>
    <x v="31"/>
  </r>
  <r>
    <x v="31"/>
  </r>
  <r>
    <x v="31"/>
  </r>
  <r>
    <x v="488"/>
  </r>
  <r>
    <x v="489"/>
  </r>
  <r>
    <x v="489"/>
  </r>
  <r>
    <x v="490"/>
  </r>
  <r>
    <x v="490"/>
  </r>
  <r>
    <x v="282"/>
  </r>
  <r>
    <x v="25"/>
  </r>
  <r>
    <x v="25"/>
  </r>
  <r>
    <x v="25"/>
  </r>
  <r>
    <x v="218"/>
  </r>
  <r>
    <x v="372"/>
  </r>
  <r>
    <x v="372"/>
  </r>
  <r>
    <x v="489"/>
  </r>
  <r>
    <x v="489"/>
  </r>
  <r>
    <x v="489"/>
  </r>
  <r>
    <x v="489"/>
  </r>
  <r>
    <x v="491"/>
  </r>
  <r>
    <x v="153"/>
  </r>
  <r>
    <x v="492"/>
  </r>
  <r>
    <x v="39"/>
  </r>
  <r>
    <x v="39"/>
  </r>
  <r>
    <x v="39"/>
  </r>
  <r>
    <x v="39"/>
  </r>
  <r>
    <x v="39"/>
  </r>
  <r>
    <x v="402"/>
  </r>
  <r>
    <x v="402"/>
  </r>
  <r>
    <x v="493"/>
  </r>
  <r>
    <x v="494"/>
  </r>
  <r>
    <x v="494"/>
  </r>
  <r>
    <x v="494"/>
  </r>
  <r>
    <x v="494"/>
  </r>
  <r>
    <x v="494"/>
  </r>
  <r>
    <x v="381"/>
  </r>
  <r>
    <x v="495"/>
  </r>
  <r>
    <x v="354"/>
  </r>
  <r>
    <x v="50"/>
  </r>
  <r>
    <x v="496"/>
  </r>
  <r>
    <x v="496"/>
  </r>
  <r>
    <x v="496"/>
  </r>
  <r>
    <x v="496"/>
  </r>
  <r>
    <x v="496"/>
  </r>
  <r>
    <x v="497"/>
  </r>
  <r>
    <x v="208"/>
  </r>
  <r>
    <x v="498"/>
  </r>
  <r>
    <x v="498"/>
  </r>
  <r>
    <x v="352"/>
  </r>
  <r>
    <x v="236"/>
  </r>
  <r>
    <x v="236"/>
  </r>
  <r>
    <x v="236"/>
  </r>
  <r>
    <x v="389"/>
  </r>
  <r>
    <x v="389"/>
  </r>
  <r>
    <x v="389"/>
  </r>
  <r>
    <x v="389"/>
  </r>
  <r>
    <x v="244"/>
  </r>
  <r>
    <x v="244"/>
  </r>
  <r>
    <x v="47"/>
  </r>
  <r>
    <x v="47"/>
  </r>
  <r>
    <x v="185"/>
  </r>
  <r>
    <x v="355"/>
  </r>
  <r>
    <x v="355"/>
  </r>
  <r>
    <x v="355"/>
  </r>
  <r>
    <x v="355"/>
  </r>
  <r>
    <x v="355"/>
  </r>
  <r>
    <x v="355"/>
  </r>
  <r>
    <x v="499"/>
  </r>
  <r>
    <x v="131"/>
  </r>
  <r>
    <x v="131"/>
  </r>
  <r>
    <x v="131"/>
  </r>
  <r>
    <x v="131"/>
  </r>
  <r>
    <x v="131"/>
  </r>
  <r>
    <x v="131"/>
  </r>
  <r>
    <x v="66"/>
  </r>
  <r>
    <x v="66"/>
  </r>
  <r>
    <x v="66"/>
  </r>
  <r>
    <x v="66"/>
  </r>
  <r>
    <x v="66"/>
  </r>
  <r>
    <x v="66"/>
  </r>
  <r>
    <x v="500"/>
  </r>
  <r>
    <x v="501"/>
  </r>
  <r>
    <x v="501"/>
  </r>
  <r>
    <x v="501"/>
  </r>
  <r>
    <x v="502"/>
  </r>
  <r>
    <x v="502"/>
  </r>
  <r>
    <x v="502"/>
  </r>
  <r>
    <x v="502"/>
  </r>
  <r>
    <x v="502"/>
  </r>
  <r>
    <x v="502"/>
  </r>
  <r>
    <x v="502"/>
  </r>
  <r>
    <x v="358"/>
  </r>
  <r>
    <x v="358"/>
  </r>
  <r>
    <x v="324"/>
  </r>
  <r>
    <x v="324"/>
  </r>
  <r>
    <x v="338"/>
  </r>
  <r>
    <x v="338"/>
  </r>
  <r>
    <x v="338"/>
  </r>
  <r>
    <x v="126"/>
  </r>
  <r>
    <x v="126"/>
  </r>
  <r>
    <x v="126"/>
  </r>
  <r>
    <x v="248"/>
  </r>
  <r>
    <x v="248"/>
  </r>
  <r>
    <x v="61"/>
  </r>
  <r>
    <x v="61"/>
  </r>
  <r>
    <x v="61"/>
  </r>
  <r>
    <x v="503"/>
  </r>
  <r>
    <x v="409"/>
  </r>
  <r>
    <x v="409"/>
  </r>
  <r>
    <x v="491"/>
  </r>
  <r>
    <x v="504"/>
  </r>
  <r>
    <x v="504"/>
  </r>
  <r>
    <x v="504"/>
  </r>
  <r>
    <x v="504"/>
  </r>
  <r>
    <x v="504"/>
  </r>
  <r>
    <x v="0"/>
  </r>
  <r>
    <x v="0"/>
  </r>
  <r>
    <x v="505"/>
  </r>
  <r>
    <x v="505"/>
  </r>
  <r>
    <x v="506"/>
  </r>
  <r>
    <x v="506"/>
  </r>
  <r>
    <x v="507"/>
  </r>
  <r>
    <x v="508"/>
  </r>
  <r>
    <x v="508"/>
  </r>
  <r>
    <x v="393"/>
  </r>
  <r>
    <x v="509"/>
  </r>
  <r>
    <x v="509"/>
  </r>
  <r>
    <x v="509"/>
  </r>
  <r>
    <x v="510"/>
  </r>
  <r>
    <x v="228"/>
  </r>
  <r>
    <x v="228"/>
  </r>
  <r>
    <x v="228"/>
  </r>
  <r>
    <x v="134"/>
  </r>
  <r>
    <x v="511"/>
  </r>
  <r>
    <x v="50"/>
  </r>
  <r>
    <x v="50"/>
  </r>
  <r>
    <x v="50"/>
  </r>
  <r>
    <x v="50"/>
  </r>
  <r>
    <x v="512"/>
  </r>
  <r>
    <x v="513"/>
  </r>
  <r>
    <x v="514"/>
  </r>
  <r>
    <x v="514"/>
  </r>
  <r>
    <x v="514"/>
  </r>
  <r>
    <x v="114"/>
  </r>
  <r>
    <x v="515"/>
  </r>
  <r>
    <x v="515"/>
  </r>
  <r>
    <x v="515"/>
  </r>
  <r>
    <x v="93"/>
  </r>
  <r>
    <x v="93"/>
  </r>
  <r>
    <x v="93"/>
  </r>
  <r>
    <x v="516"/>
  </r>
  <r>
    <x v="516"/>
  </r>
  <r>
    <x v="92"/>
  </r>
  <r>
    <x v="217"/>
  </r>
  <r>
    <x v="217"/>
  </r>
  <r>
    <x v="215"/>
  </r>
  <r>
    <x v="517"/>
  </r>
  <r>
    <x v="517"/>
  </r>
  <r>
    <x v="246"/>
  </r>
  <r>
    <x v="246"/>
  </r>
  <r>
    <x v="246"/>
  </r>
  <r>
    <x v="246"/>
  </r>
  <r>
    <x v="246"/>
  </r>
  <r>
    <x v="518"/>
  </r>
  <r>
    <x v="493"/>
  </r>
  <r>
    <x v="493"/>
  </r>
  <r>
    <x v="130"/>
  </r>
  <r>
    <x v="519"/>
  </r>
  <r>
    <x v="519"/>
  </r>
  <r>
    <x v="519"/>
  </r>
  <r>
    <x v="519"/>
  </r>
  <r>
    <x v="519"/>
  </r>
  <r>
    <x v="520"/>
  </r>
  <r>
    <x v="521"/>
  </r>
  <r>
    <x v="223"/>
  </r>
  <r>
    <x v="223"/>
  </r>
  <r>
    <x v="508"/>
  </r>
  <r>
    <x v="508"/>
  </r>
  <r>
    <x v="508"/>
  </r>
  <r>
    <x v="522"/>
  </r>
  <r>
    <x v="523"/>
  </r>
  <r>
    <x v="523"/>
  </r>
  <r>
    <x v="523"/>
  </r>
  <r>
    <x v="523"/>
  </r>
  <r>
    <x v="524"/>
  </r>
  <r>
    <x v="131"/>
  </r>
  <r>
    <x v="363"/>
  </r>
  <r>
    <x v="363"/>
  </r>
  <r>
    <x v="525"/>
  </r>
  <r>
    <x v="121"/>
  </r>
  <r>
    <x v="121"/>
  </r>
  <r>
    <x v="121"/>
  </r>
  <r>
    <x v="121"/>
  </r>
  <r>
    <x v="526"/>
  </r>
  <r>
    <x v="526"/>
  </r>
  <r>
    <x v="526"/>
  </r>
  <r>
    <x v="526"/>
  </r>
  <r>
    <x v="523"/>
  </r>
  <r>
    <x v="527"/>
  </r>
  <r>
    <x v="527"/>
  </r>
  <r>
    <x v="528"/>
  </r>
  <r>
    <x v="528"/>
  </r>
  <r>
    <x v="141"/>
  </r>
  <r>
    <x v="141"/>
  </r>
  <r>
    <x v="141"/>
  </r>
  <r>
    <x v="141"/>
  </r>
  <r>
    <x v="216"/>
  </r>
  <r>
    <x v="529"/>
  </r>
  <r>
    <x v="530"/>
  </r>
  <r>
    <x v="357"/>
  </r>
  <r>
    <x v="42"/>
  </r>
  <r>
    <x v="42"/>
  </r>
  <r>
    <x v="42"/>
  </r>
  <r>
    <x v="42"/>
  </r>
  <r>
    <x v="341"/>
  </r>
  <r>
    <x v="531"/>
  </r>
  <r>
    <x v="531"/>
  </r>
  <r>
    <x v="531"/>
  </r>
  <r>
    <x v="532"/>
  </r>
  <r>
    <x v="533"/>
  </r>
  <r>
    <x v="105"/>
  </r>
  <r>
    <x v="239"/>
  </r>
  <r>
    <x v="534"/>
  </r>
  <r>
    <x v="339"/>
  </r>
  <r>
    <x v="535"/>
  </r>
  <r>
    <x v="535"/>
  </r>
  <r>
    <x v="535"/>
  </r>
  <r>
    <x v="535"/>
  </r>
  <r>
    <x v="77"/>
  </r>
  <r>
    <x v="15"/>
  </r>
  <r>
    <x v="168"/>
  </r>
  <r>
    <x v="168"/>
  </r>
  <r>
    <x v="536"/>
  </r>
  <r>
    <x v="433"/>
  </r>
  <r>
    <x v="433"/>
  </r>
  <r>
    <x v="537"/>
  </r>
  <r>
    <x v="537"/>
  </r>
  <r>
    <x v="537"/>
  </r>
  <r>
    <x v="537"/>
  </r>
  <r>
    <x v="187"/>
  </r>
  <r>
    <x v="538"/>
  </r>
  <r>
    <x v="230"/>
  </r>
  <r>
    <x v="230"/>
  </r>
  <r>
    <x v="230"/>
  </r>
  <r>
    <x v="212"/>
  </r>
  <r>
    <x v="212"/>
  </r>
  <r>
    <x v="212"/>
  </r>
  <r>
    <x v="212"/>
  </r>
  <r>
    <x v="212"/>
  </r>
  <r>
    <x v="212"/>
  </r>
  <r>
    <x v="539"/>
  </r>
  <r>
    <x v="109"/>
  </r>
  <r>
    <x v="109"/>
  </r>
  <r>
    <x v="145"/>
  </r>
  <r>
    <x v="77"/>
  </r>
  <r>
    <x v="77"/>
  </r>
  <r>
    <x v="77"/>
  </r>
  <r>
    <x v="264"/>
  </r>
  <r>
    <x v="262"/>
  </r>
  <r>
    <x v="262"/>
  </r>
  <r>
    <x v="262"/>
  </r>
  <r>
    <x v="471"/>
  </r>
  <r>
    <x v="462"/>
  </r>
  <r>
    <x v="462"/>
  </r>
  <r>
    <x v="462"/>
  </r>
  <r>
    <x v="462"/>
  </r>
  <r>
    <x v="462"/>
  </r>
  <r>
    <x v="465"/>
  </r>
  <r>
    <x v="465"/>
  </r>
  <r>
    <x v="465"/>
  </r>
  <r>
    <x v="465"/>
  </r>
  <r>
    <x v="282"/>
  </r>
  <r>
    <x v="4"/>
  </r>
  <r>
    <x v="540"/>
  </r>
  <r>
    <x v="541"/>
  </r>
  <r>
    <x v="10"/>
  </r>
  <r>
    <x v="10"/>
  </r>
  <r>
    <x v="10"/>
  </r>
  <r>
    <x v="10"/>
  </r>
  <r>
    <x v="347"/>
  </r>
  <r>
    <x v="347"/>
  </r>
  <r>
    <x v="347"/>
  </r>
  <r>
    <x v="320"/>
  </r>
  <r>
    <x v="320"/>
  </r>
  <r>
    <x v="542"/>
  </r>
  <r>
    <x v="543"/>
  </r>
  <r>
    <x v="261"/>
  </r>
  <r>
    <x v="544"/>
  </r>
  <r>
    <x v="545"/>
  </r>
  <r>
    <x v="545"/>
  </r>
  <r>
    <x v="300"/>
  </r>
  <r>
    <x v="506"/>
  </r>
  <r>
    <x v="211"/>
  </r>
  <r>
    <x v="300"/>
  </r>
  <r>
    <x v="300"/>
  </r>
  <r>
    <x v="218"/>
  </r>
  <r>
    <x v="218"/>
  </r>
  <r>
    <x v="546"/>
  </r>
  <r>
    <x v="263"/>
  </r>
  <r>
    <x v="519"/>
  </r>
  <r>
    <x v="519"/>
  </r>
  <r>
    <x v="519"/>
  </r>
  <r>
    <x v="519"/>
  </r>
  <r>
    <x v="91"/>
  </r>
  <r>
    <x v="266"/>
  </r>
  <r>
    <x v="266"/>
  </r>
  <r>
    <x v="266"/>
  </r>
  <r>
    <x v="547"/>
  </r>
  <r>
    <x v="547"/>
  </r>
  <r>
    <x v="547"/>
  </r>
  <r>
    <x v="548"/>
  </r>
  <r>
    <x v="548"/>
  </r>
  <r>
    <x v="548"/>
  </r>
  <r>
    <x v="549"/>
  </r>
  <r>
    <x v="550"/>
  </r>
  <r>
    <x v="402"/>
  </r>
  <r>
    <x v="402"/>
  </r>
  <r>
    <x v="402"/>
  </r>
  <r>
    <x v="402"/>
  </r>
  <r>
    <x v="551"/>
  </r>
  <r>
    <x v="551"/>
  </r>
  <r>
    <x v="534"/>
  </r>
  <r>
    <x v="543"/>
  </r>
  <r>
    <x v="552"/>
  </r>
  <r>
    <x v="14"/>
  </r>
  <r>
    <x v="14"/>
  </r>
  <r>
    <x v="553"/>
  </r>
  <r>
    <x v="553"/>
  </r>
  <r>
    <x v="554"/>
  </r>
  <r>
    <x v="555"/>
  </r>
  <r>
    <x v="555"/>
  </r>
  <r>
    <x v="400"/>
  </r>
  <r>
    <x v="400"/>
  </r>
  <r>
    <x v="400"/>
  </r>
  <r>
    <x v="400"/>
  </r>
  <r>
    <x v="400"/>
  </r>
  <r>
    <x v="556"/>
  </r>
  <r>
    <x v="556"/>
  </r>
  <r>
    <x v="556"/>
  </r>
  <r>
    <x v="557"/>
  </r>
  <r>
    <x v="321"/>
  </r>
  <r>
    <x v="361"/>
  </r>
  <r>
    <x v="361"/>
  </r>
  <r>
    <x v="328"/>
  </r>
  <r>
    <x v="328"/>
  </r>
  <r>
    <x v="328"/>
  </r>
  <r>
    <x v="328"/>
  </r>
  <r>
    <x v="328"/>
  </r>
  <r>
    <x v="328"/>
  </r>
  <r>
    <x v="138"/>
  </r>
  <r>
    <x v="497"/>
  </r>
  <r>
    <x v="487"/>
  </r>
  <r>
    <x v="558"/>
  </r>
  <r>
    <x v="326"/>
  </r>
  <r>
    <x v="200"/>
  </r>
  <r>
    <x v="559"/>
  </r>
  <r>
    <x v="560"/>
  </r>
  <r>
    <x v="560"/>
  </r>
  <r>
    <x v="560"/>
  </r>
  <r>
    <x v="560"/>
  </r>
  <r>
    <x v="560"/>
  </r>
  <r>
    <x v="560"/>
  </r>
  <r>
    <x v="560"/>
  </r>
  <r>
    <x v="560"/>
  </r>
  <r>
    <x v="232"/>
  </r>
  <r>
    <x v="232"/>
  </r>
  <r>
    <x v="561"/>
  </r>
  <r>
    <x v="561"/>
  </r>
  <r>
    <x v="38"/>
  </r>
  <r>
    <x v="441"/>
  </r>
  <r>
    <x v="379"/>
  </r>
  <r>
    <x v="379"/>
  </r>
  <r>
    <x v="93"/>
  </r>
  <r>
    <x v="93"/>
  </r>
  <r>
    <x v="558"/>
  </r>
  <r>
    <x v="558"/>
  </r>
  <r>
    <x v="533"/>
  </r>
  <r>
    <x v="533"/>
  </r>
  <r>
    <x v="562"/>
  </r>
  <r>
    <x v="562"/>
  </r>
  <r>
    <x v="562"/>
  </r>
  <r>
    <x v="377"/>
  </r>
  <r>
    <x v="377"/>
  </r>
  <r>
    <x v="377"/>
  </r>
  <r>
    <x v="494"/>
  </r>
  <r>
    <x v="563"/>
  </r>
  <r>
    <x v="564"/>
  </r>
  <r>
    <x v="564"/>
  </r>
  <r>
    <x v="564"/>
  </r>
  <r>
    <x v="300"/>
  </r>
  <r>
    <x v="375"/>
  </r>
  <r>
    <x v="565"/>
  </r>
  <r>
    <x v="227"/>
  </r>
  <r>
    <x v="211"/>
  </r>
  <r>
    <x v="211"/>
  </r>
  <r>
    <x v="566"/>
  </r>
  <r>
    <x v="448"/>
  </r>
  <r>
    <x v="448"/>
  </r>
  <r>
    <x v="448"/>
  </r>
  <r>
    <x v="240"/>
  </r>
  <r>
    <x v="567"/>
  </r>
  <r>
    <x v="567"/>
  </r>
  <r>
    <x v="567"/>
  </r>
  <r>
    <x v="23"/>
  </r>
  <r>
    <x v="568"/>
  </r>
  <r>
    <x v="260"/>
  </r>
  <r>
    <x v="260"/>
  </r>
  <r>
    <x v="117"/>
  </r>
  <r>
    <x v="569"/>
  </r>
  <r>
    <x v="290"/>
  </r>
  <r>
    <x v="148"/>
  </r>
  <r>
    <x v="570"/>
  </r>
  <r>
    <x v="570"/>
  </r>
  <r>
    <x v="570"/>
  </r>
  <r>
    <x v="570"/>
  </r>
  <r>
    <x v="127"/>
  </r>
  <r>
    <x v="127"/>
  </r>
  <r>
    <x v="28"/>
  </r>
  <r>
    <x v="28"/>
  </r>
  <r>
    <x v="571"/>
  </r>
  <r>
    <x v="572"/>
  </r>
  <r>
    <x v="224"/>
  </r>
  <r>
    <x v="224"/>
  </r>
  <r>
    <x v="573"/>
  </r>
  <r>
    <x v="573"/>
  </r>
  <r>
    <x v="503"/>
  </r>
  <r>
    <x v="574"/>
  </r>
  <r>
    <x v="575"/>
  </r>
  <r>
    <x v="575"/>
  </r>
  <r>
    <x v="576"/>
  </r>
  <r>
    <x v="576"/>
  </r>
  <r>
    <x v="576"/>
  </r>
  <r>
    <x v="244"/>
  </r>
  <r>
    <x v="244"/>
  </r>
  <r>
    <x v="244"/>
  </r>
  <r>
    <x v="244"/>
  </r>
  <r>
    <x v="25"/>
  </r>
  <r>
    <x v="25"/>
  </r>
  <r>
    <x v="25"/>
  </r>
  <r>
    <x v="577"/>
  </r>
  <r>
    <x v="577"/>
  </r>
  <r>
    <x v="577"/>
  </r>
  <r>
    <x v="577"/>
  </r>
  <r>
    <x v="348"/>
  </r>
  <r>
    <x v="578"/>
  </r>
  <r>
    <x v="578"/>
  </r>
  <r>
    <x v="578"/>
  </r>
  <r>
    <x v="283"/>
  </r>
  <r>
    <x v="283"/>
  </r>
  <r>
    <x v="283"/>
  </r>
  <r>
    <x v="283"/>
  </r>
  <r>
    <x v="460"/>
  </r>
  <r>
    <x v="579"/>
  </r>
  <r>
    <x v="579"/>
  </r>
  <r>
    <x v="294"/>
  </r>
  <r>
    <x v="189"/>
  </r>
  <r>
    <x v="189"/>
  </r>
  <r>
    <x v="189"/>
  </r>
  <r>
    <x v="189"/>
  </r>
  <r>
    <x v="189"/>
  </r>
  <r>
    <x v="494"/>
  </r>
  <r>
    <x v="494"/>
  </r>
  <r>
    <x v="436"/>
  </r>
  <r>
    <x v="95"/>
  </r>
  <r>
    <x v="95"/>
  </r>
  <r>
    <x v="285"/>
  </r>
  <r>
    <x v="405"/>
  </r>
  <r>
    <x v="580"/>
  </r>
  <r>
    <x v="214"/>
  </r>
  <r>
    <x v="377"/>
  </r>
  <r>
    <x v="377"/>
  </r>
  <r>
    <x v="377"/>
  </r>
  <r>
    <x v="581"/>
  </r>
  <r>
    <x v="582"/>
  </r>
  <r>
    <x v="495"/>
  </r>
  <r>
    <x v="495"/>
  </r>
  <r>
    <x v="311"/>
  </r>
  <r>
    <x v="583"/>
  </r>
  <r>
    <x v="583"/>
  </r>
  <r>
    <x v="583"/>
  </r>
  <r>
    <x v="583"/>
  </r>
  <r>
    <x v="583"/>
  </r>
  <r>
    <x v="321"/>
  </r>
  <r>
    <x v="218"/>
  </r>
  <r>
    <x v="520"/>
  </r>
  <r>
    <x v="520"/>
  </r>
  <r>
    <x v="151"/>
  </r>
  <r>
    <x v="151"/>
  </r>
  <r>
    <x v="151"/>
  </r>
  <r>
    <x v="151"/>
  </r>
  <r>
    <x v="151"/>
  </r>
  <r>
    <x v="151"/>
  </r>
  <r>
    <x v="423"/>
  </r>
  <r>
    <x v="525"/>
  </r>
  <r>
    <x v="254"/>
  </r>
  <r>
    <x v="254"/>
  </r>
  <r>
    <x v="254"/>
  </r>
  <r>
    <x v="254"/>
  </r>
  <r>
    <x v="254"/>
  </r>
  <r>
    <x v="103"/>
  </r>
  <r>
    <x v="584"/>
  </r>
  <r>
    <x v="584"/>
  </r>
  <r>
    <x v="585"/>
  </r>
  <r>
    <x v="585"/>
  </r>
  <r>
    <x v="585"/>
  </r>
  <r>
    <x v="585"/>
  </r>
  <r>
    <x v="463"/>
  </r>
  <r>
    <x v="135"/>
  </r>
  <r>
    <x v="538"/>
  </r>
  <r>
    <x v="261"/>
  </r>
  <r>
    <x v="261"/>
  </r>
  <r>
    <x v="467"/>
  </r>
  <r>
    <x v="467"/>
  </r>
  <r>
    <x v="586"/>
  </r>
  <r>
    <x v="33"/>
  </r>
  <r>
    <x v="33"/>
  </r>
  <r>
    <x v="33"/>
  </r>
  <r>
    <x v="33"/>
  </r>
  <r>
    <x v="498"/>
  </r>
  <r>
    <x v="498"/>
  </r>
  <r>
    <x v="180"/>
  </r>
  <r>
    <x v="366"/>
  </r>
  <r>
    <x v="366"/>
  </r>
  <r>
    <x v="218"/>
  </r>
  <r>
    <x v="569"/>
  </r>
  <r>
    <x v="8"/>
  </r>
  <r>
    <x v="8"/>
  </r>
  <r>
    <x v="8"/>
  </r>
  <r>
    <x v="496"/>
  </r>
  <r>
    <x v="496"/>
  </r>
  <r>
    <x v="587"/>
  </r>
  <r>
    <x v="587"/>
  </r>
  <r>
    <x v="202"/>
  </r>
  <r>
    <x v="202"/>
  </r>
  <r>
    <x v="202"/>
  </r>
  <r>
    <x v="202"/>
  </r>
  <r>
    <x v="202"/>
  </r>
  <r>
    <x v="202"/>
  </r>
  <r>
    <x v="202"/>
  </r>
  <r>
    <x v="43"/>
  </r>
  <r>
    <x v="43"/>
  </r>
  <r>
    <x v="456"/>
  </r>
  <r>
    <x v="588"/>
  </r>
  <r>
    <x v="170"/>
  </r>
  <r>
    <x v="170"/>
  </r>
  <r>
    <x v="589"/>
  </r>
  <r>
    <x v="590"/>
  </r>
  <r>
    <x v="386"/>
  </r>
  <r>
    <x v="386"/>
  </r>
  <r>
    <x v="386"/>
  </r>
  <r>
    <x v="386"/>
  </r>
  <r>
    <x v="386"/>
  </r>
  <r>
    <x v="591"/>
  </r>
  <r>
    <x v="41"/>
  </r>
  <r>
    <x v="592"/>
  </r>
  <r>
    <x v="592"/>
  </r>
  <r>
    <x v="404"/>
  </r>
  <r>
    <x v="404"/>
  </r>
  <r>
    <x v="118"/>
  </r>
  <r>
    <x v="593"/>
  </r>
  <r>
    <x v="274"/>
  </r>
  <r>
    <x v="274"/>
  </r>
  <r>
    <x v="146"/>
  </r>
  <r>
    <x v="146"/>
  </r>
  <r>
    <x v="507"/>
  </r>
  <r>
    <x v="307"/>
  </r>
  <r>
    <x v="307"/>
  </r>
  <r>
    <x v="307"/>
  </r>
  <r>
    <x v="307"/>
  </r>
  <r>
    <x v="307"/>
  </r>
  <r>
    <x v="594"/>
  </r>
  <r>
    <x v="160"/>
  </r>
  <r>
    <x v="160"/>
  </r>
  <r>
    <x v="197"/>
  </r>
  <r>
    <x v="197"/>
  </r>
  <r>
    <x v="197"/>
  </r>
  <r>
    <x v="197"/>
  </r>
  <r>
    <x v="197"/>
  </r>
  <r>
    <x v="595"/>
  </r>
  <r>
    <x v="595"/>
  </r>
  <r>
    <x v="595"/>
  </r>
  <r>
    <x v="472"/>
  </r>
  <r>
    <x v="596"/>
  </r>
  <r>
    <x v="596"/>
  </r>
  <r>
    <x v="596"/>
  </r>
  <r>
    <x v="10"/>
  </r>
  <r>
    <x v="10"/>
  </r>
  <r>
    <x v="597"/>
  </r>
  <r>
    <x v="50"/>
  </r>
  <r>
    <x v="196"/>
  </r>
  <r>
    <x v="196"/>
  </r>
  <r>
    <x v="196"/>
  </r>
  <r>
    <x v="594"/>
  </r>
  <r>
    <x v="594"/>
  </r>
  <r>
    <x v="386"/>
  </r>
  <r>
    <x v="386"/>
  </r>
  <r>
    <x v="96"/>
  </r>
  <r>
    <x v="96"/>
  </r>
  <r>
    <x v="96"/>
  </r>
  <r>
    <x v="96"/>
  </r>
  <r>
    <x v="13"/>
  </r>
  <r>
    <x v="598"/>
  </r>
  <r>
    <x v="599"/>
  </r>
  <r>
    <x v="599"/>
  </r>
  <r>
    <x v="599"/>
  </r>
  <r>
    <x v="599"/>
  </r>
  <r>
    <x v="599"/>
  </r>
  <r>
    <x v="300"/>
  </r>
  <r>
    <x v="300"/>
  </r>
  <r>
    <x v="300"/>
  </r>
  <r>
    <x v="600"/>
  </r>
  <r>
    <x v="179"/>
  </r>
  <r>
    <x v="134"/>
  </r>
  <r>
    <x v="596"/>
  </r>
  <r>
    <x v="181"/>
  </r>
  <r>
    <x v="181"/>
  </r>
  <r>
    <x v="249"/>
  </r>
  <r>
    <x v="249"/>
  </r>
  <r>
    <x v="601"/>
  </r>
  <r>
    <x v="551"/>
  </r>
  <r>
    <x v="9"/>
  </r>
  <r>
    <x v="9"/>
  </r>
  <r>
    <x v="9"/>
  </r>
  <r>
    <x v="573"/>
  </r>
  <r>
    <x v="343"/>
  </r>
  <r>
    <x v="355"/>
  </r>
  <r>
    <x v="309"/>
  </r>
  <r>
    <x v="309"/>
  </r>
  <r>
    <x v="366"/>
  </r>
  <r>
    <x v="366"/>
  </r>
  <r>
    <x v="366"/>
  </r>
  <r>
    <x v="158"/>
  </r>
  <r>
    <x v="158"/>
  </r>
  <r>
    <x v="602"/>
  </r>
  <r>
    <x v="484"/>
  </r>
  <r>
    <x v="251"/>
  </r>
  <r>
    <x v="203"/>
  </r>
  <r>
    <x v="197"/>
  </r>
  <r>
    <x v="325"/>
  </r>
  <r>
    <x v="325"/>
  </r>
  <r>
    <x v="325"/>
  </r>
  <r>
    <x v="603"/>
  </r>
  <r>
    <x v="603"/>
  </r>
  <r>
    <x v="603"/>
  </r>
  <r>
    <x v="604"/>
  </r>
  <r>
    <x v="604"/>
  </r>
  <r>
    <x v="105"/>
  </r>
  <r>
    <x v="105"/>
  </r>
  <r>
    <x v="384"/>
  </r>
  <r>
    <x v="248"/>
  </r>
  <r>
    <x v="248"/>
  </r>
  <r>
    <x v="248"/>
  </r>
  <r>
    <x v="279"/>
  </r>
  <r>
    <x v="410"/>
  </r>
  <r>
    <x v="410"/>
  </r>
  <r>
    <x v="605"/>
  </r>
  <r>
    <x v="453"/>
  </r>
  <r>
    <x v="555"/>
  </r>
  <r>
    <x v="366"/>
  </r>
  <r>
    <x v="366"/>
  </r>
  <r>
    <x v="366"/>
  </r>
  <r>
    <x v="366"/>
  </r>
  <r>
    <x v="366"/>
  </r>
  <r>
    <x v="207"/>
  </r>
  <r>
    <x v="207"/>
  </r>
  <r>
    <x v="132"/>
  </r>
  <r>
    <x v="132"/>
  </r>
  <r>
    <x v="132"/>
  </r>
  <r>
    <x v="176"/>
  </r>
  <r>
    <x v="176"/>
  </r>
  <r>
    <x v="176"/>
  </r>
  <r>
    <x v="176"/>
  </r>
  <r>
    <x v="176"/>
  </r>
  <r>
    <x v="569"/>
  </r>
  <r>
    <x v="122"/>
  </r>
  <r>
    <x v="122"/>
  </r>
  <r>
    <x v="518"/>
  </r>
  <r>
    <x v="606"/>
  </r>
  <r>
    <x v="606"/>
  </r>
  <r>
    <x v="272"/>
  </r>
  <r>
    <x v="75"/>
  </r>
  <r>
    <x v="364"/>
  </r>
  <r>
    <x v="517"/>
  </r>
  <r>
    <x v="577"/>
  </r>
  <r>
    <x v="607"/>
  </r>
  <r>
    <x v="607"/>
  </r>
  <r>
    <x v="567"/>
  </r>
  <r>
    <x v="567"/>
  </r>
  <r>
    <x v="478"/>
  </r>
  <r>
    <x v="478"/>
  </r>
  <r>
    <x v="442"/>
  </r>
  <r>
    <x v="442"/>
  </r>
  <r>
    <x v="608"/>
  </r>
  <r>
    <x v="329"/>
  </r>
  <r>
    <x v="329"/>
  </r>
  <r>
    <x v="43"/>
  </r>
  <r>
    <x v="526"/>
  </r>
  <r>
    <x v="526"/>
  </r>
  <r>
    <x v="218"/>
  </r>
  <r>
    <x v="71"/>
  </r>
  <r>
    <x v="71"/>
  </r>
  <r>
    <x v="609"/>
  </r>
  <r>
    <x v="610"/>
  </r>
  <r>
    <x v="205"/>
  </r>
  <r>
    <x v="205"/>
  </r>
  <r>
    <x v="321"/>
  </r>
  <r>
    <x v="321"/>
  </r>
  <r>
    <x v="321"/>
  </r>
  <r>
    <x v="582"/>
  </r>
  <r>
    <x v="582"/>
  </r>
  <r>
    <x v="549"/>
  </r>
  <r>
    <x v="549"/>
  </r>
  <r>
    <x v="549"/>
  </r>
  <r>
    <x v="611"/>
  </r>
  <r>
    <x v="611"/>
  </r>
  <r>
    <x v="30"/>
  </r>
  <r>
    <x v="612"/>
  </r>
  <r>
    <x v="389"/>
  </r>
  <r>
    <x v="389"/>
  </r>
  <r>
    <x v="389"/>
  </r>
  <r>
    <x v="389"/>
  </r>
  <r>
    <x v="315"/>
  </r>
  <r>
    <x v="315"/>
  </r>
  <r>
    <x v="306"/>
  </r>
  <r>
    <x v="306"/>
  </r>
  <r>
    <x v="306"/>
  </r>
  <r>
    <x v="306"/>
  </r>
  <r>
    <x v="613"/>
  </r>
  <r>
    <x v="613"/>
  </r>
  <r>
    <x v="613"/>
  </r>
  <r>
    <x v="613"/>
  </r>
  <r>
    <x v="613"/>
  </r>
  <r>
    <x v="278"/>
  </r>
  <r>
    <x v="452"/>
  </r>
  <r>
    <x v="251"/>
  </r>
  <r>
    <x v="270"/>
  </r>
  <r>
    <x v="270"/>
  </r>
  <r>
    <x v="614"/>
  </r>
  <r>
    <x v="18"/>
  </r>
  <r>
    <x v="127"/>
  </r>
  <r>
    <x v="615"/>
  </r>
  <r>
    <x v="615"/>
  </r>
  <r>
    <x v="615"/>
  </r>
  <r>
    <x v="438"/>
  </r>
  <r>
    <x v="387"/>
  </r>
  <r>
    <x v="155"/>
  </r>
  <r>
    <x v="155"/>
  </r>
  <r>
    <x v="287"/>
  </r>
  <r>
    <x v="287"/>
  </r>
  <r>
    <x v="170"/>
  </r>
  <r>
    <x v="600"/>
  </r>
  <r>
    <x v="616"/>
  </r>
  <r>
    <x v="616"/>
  </r>
  <r>
    <x v="616"/>
  </r>
  <r>
    <x v="616"/>
  </r>
  <r>
    <x v="617"/>
  </r>
  <r>
    <x v="407"/>
  </r>
  <r>
    <x v="279"/>
  </r>
  <r>
    <x v="102"/>
  </r>
  <r>
    <x v="102"/>
  </r>
  <r>
    <x v="412"/>
  </r>
  <r>
    <x v="535"/>
  </r>
  <r>
    <x v="535"/>
  </r>
  <r>
    <x v="618"/>
  </r>
  <r>
    <x v="470"/>
  </r>
  <r>
    <x v="470"/>
  </r>
  <r>
    <x v="470"/>
  </r>
  <r>
    <x v="328"/>
  </r>
  <r>
    <x v="328"/>
  </r>
  <r>
    <x v="328"/>
  </r>
  <r>
    <x v="328"/>
  </r>
  <r>
    <x v="284"/>
  </r>
  <r>
    <x v="411"/>
  </r>
  <r>
    <x v="41"/>
  </r>
  <r>
    <x v="619"/>
  </r>
  <r>
    <x v="619"/>
  </r>
  <r>
    <x v="620"/>
  </r>
  <r>
    <x v="519"/>
  </r>
  <r>
    <x v="519"/>
  </r>
  <r>
    <x v="240"/>
  </r>
  <r>
    <x v="526"/>
  </r>
  <r>
    <x v="526"/>
  </r>
  <r>
    <x v="526"/>
  </r>
  <r>
    <x v="526"/>
  </r>
  <r>
    <x v="526"/>
  </r>
  <r>
    <x v="621"/>
  </r>
  <r>
    <x v="621"/>
  </r>
  <r>
    <x v="621"/>
  </r>
  <r>
    <x v="622"/>
  </r>
  <r>
    <x v="622"/>
  </r>
  <r>
    <x v="622"/>
  </r>
  <r>
    <x v="131"/>
  </r>
  <r>
    <x v="514"/>
  </r>
  <r>
    <x v="514"/>
  </r>
  <r>
    <x v="514"/>
  </r>
  <r>
    <x v="623"/>
  </r>
  <r>
    <x v="587"/>
  </r>
  <r>
    <x v="587"/>
  </r>
  <r>
    <x v="427"/>
  </r>
  <r>
    <x v="320"/>
  </r>
  <r>
    <x v="320"/>
  </r>
  <r>
    <x v="244"/>
  </r>
  <r>
    <x v="450"/>
  </r>
  <r>
    <x v="450"/>
  </r>
  <r>
    <x v="285"/>
  </r>
  <r>
    <x v="624"/>
  </r>
  <r>
    <x v="552"/>
  </r>
  <r>
    <x v="625"/>
  </r>
  <r>
    <x v="344"/>
  </r>
  <r>
    <x v="344"/>
  </r>
  <r>
    <x v="227"/>
  </r>
  <r>
    <x v="436"/>
  </r>
  <r>
    <x v="436"/>
  </r>
  <r>
    <x v="20"/>
  </r>
  <r>
    <x v="513"/>
  </r>
  <r>
    <x v="513"/>
  </r>
  <r>
    <x v="74"/>
  </r>
  <r>
    <x v="74"/>
  </r>
  <r>
    <x v="209"/>
  </r>
  <r>
    <x v="421"/>
  </r>
  <r>
    <x v="445"/>
  </r>
  <r>
    <x v="77"/>
  </r>
  <r>
    <x v="77"/>
  </r>
  <r>
    <x v="77"/>
  </r>
  <r>
    <x v="77"/>
  </r>
  <r>
    <x v="83"/>
  </r>
  <r>
    <x v="626"/>
  </r>
  <r>
    <x v="452"/>
  </r>
  <r>
    <x v="452"/>
  </r>
  <r>
    <x v="108"/>
  </r>
  <r>
    <x v="134"/>
  </r>
  <r>
    <x v="290"/>
  </r>
  <r>
    <x v="290"/>
  </r>
  <r>
    <x v="627"/>
  </r>
  <r>
    <x v="627"/>
  </r>
  <r>
    <x v="627"/>
  </r>
  <r>
    <x v="568"/>
  </r>
  <r>
    <x v="628"/>
  </r>
  <r>
    <x v="315"/>
  </r>
  <r>
    <x v="155"/>
  </r>
  <r>
    <x v="155"/>
  </r>
  <r>
    <x v="155"/>
  </r>
  <r>
    <x v="155"/>
  </r>
  <r>
    <x v="115"/>
  </r>
  <r>
    <x v="115"/>
  </r>
  <r>
    <x v="115"/>
  </r>
  <r>
    <x v="115"/>
  </r>
  <r>
    <x v="115"/>
  </r>
  <r>
    <x v="480"/>
  </r>
  <r>
    <x v="243"/>
  </r>
  <r>
    <x v="243"/>
  </r>
  <r>
    <x v="243"/>
  </r>
  <r>
    <x v="243"/>
  </r>
  <r>
    <x v="243"/>
  </r>
  <r>
    <x v="243"/>
  </r>
  <r>
    <x v="243"/>
  </r>
  <r>
    <x v="243"/>
  </r>
  <r>
    <x v="207"/>
  </r>
  <r>
    <x v="27"/>
  </r>
  <r>
    <x v="259"/>
  </r>
  <r>
    <x v="259"/>
  </r>
  <r>
    <x v="426"/>
  </r>
  <r>
    <x v="426"/>
  </r>
  <r>
    <x v="426"/>
  </r>
  <r>
    <x v="426"/>
  </r>
  <r>
    <x v="426"/>
  </r>
  <r>
    <x v="294"/>
  </r>
  <r>
    <x v="184"/>
  </r>
  <r>
    <x v="184"/>
  </r>
  <r>
    <x v="365"/>
  </r>
  <r>
    <x v="218"/>
  </r>
  <r>
    <x v="218"/>
  </r>
  <r>
    <x v="144"/>
  </r>
  <r>
    <x v="260"/>
  </r>
  <r>
    <x v="466"/>
  </r>
  <r>
    <x v="441"/>
  </r>
  <r>
    <x v="469"/>
  </r>
  <r>
    <x v="469"/>
  </r>
  <r>
    <x v="145"/>
  </r>
  <r>
    <x v="145"/>
  </r>
  <r>
    <x v="145"/>
  </r>
  <r>
    <x v="378"/>
  </r>
  <r>
    <x v="378"/>
  </r>
  <r>
    <x v="539"/>
  </r>
  <r>
    <x v="539"/>
  </r>
  <r>
    <x v="629"/>
  </r>
  <r>
    <x v="456"/>
  </r>
  <r>
    <x v="456"/>
  </r>
  <r>
    <x v="630"/>
  </r>
  <r>
    <x v="631"/>
  </r>
  <r>
    <x v="631"/>
  </r>
  <r>
    <x v="478"/>
  </r>
  <r>
    <x v="478"/>
  </r>
  <r>
    <x v="478"/>
  </r>
  <r>
    <x v="331"/>
  </r>
  <r>
    <x v="632"/>
  </r>
  <r>
    <x v="632"/>
  </r>
  <r>
    <x v="433"/>
  </r>
  <r>
    <x v="558"/>
  </r>
  <r>
    <x v="558"/>
  </r>
  <r>
    <x v="558"/>
  </r>
  <r>
    <x v="633"/>
  </r>
  <r>
    <x v="161"/>
  </r>
  <r>
    <x v="161"/>
  </r>
  <r>
    <x v="161"/>
  </r>
  <r>
    <x v="161"/>
  </r>
  <r>
    <x v="161"/>
  </r>
  <r>
    <x v="161"/>
  </r>
  <r>
    <x v="396"/>
  </r>
  <r>
    <x v="417"/>
  </r>
  <r>
    <x v="417"/>
  </r>
  <r>
    <x v="172"/>
  </r>
  <r>
    <x v="172"/>
  </r>
  <r>
    <x v="172"/>
  </r>
  <r>
    <x v="172"/>
  </r>
  <r>
    <x v="491"/>
  </r>
  <r>
    <x v="208"/>
  </r>
  <r>
    <x v="208"/>
  </r>
  <r>
    <x v="208"/>
  </r>
  <r>
    <x v="208"/>
  </r>
  <r>
    <x v="208"/>
  </r>
  <r>
    <x v="401"/>
  </r>
  <r>
    <x v="401"/>
  </r>
  <r>
    <x v="401"/>
  </r>
  <r>
    <x v="0"/>
  </r>
  <r>
    <x v="0"/>
  </r>
  <r>
    <x v="0"/>
  </r>
  <r>
    <x v="0"/>
  </r>
  <r>
    <x v="439"/>
  </r>
  <r>
    <x v="334"/>
  </r>
  <r>
    <x v="354"/>
  </r>
  <r>
    <x v="354"/>
  </r>
  <r>
    <x v="180"/>
  </r>
  <r>
    <x v="634"/>
  </r>
  <r>
    <x v="634"/>
  </r>
  <r>
    <x v="634"/>
  </r>
  <r>
    <x v="634"/>
  </r>
  <r>
    <x v="634"/>
  </r>
  <r>
    <x v="634"/>
  </r>
  <r>
    <x v="634"/>
  </r>
  <r>
    <x v="634"/>
  </r>
  <r>
    <x v="634"/>
  </r>
  <r>
    <x v="190"/>
  </r>
  <r>
    <x v="190"/>
  </r>
  <r>
    <x v="161"/>
  </r>
  <r>
    <x v="161"/>
  </r>
  <r>
    <x v="161"/>
  </r>
  <r>
    <x v="414"/>
  </r>
  <r>
    <x v="635"/>
  </r>
  <r>
    <x v="636"/>
  </r>
  <r>
    <x v="636"/>
  </r>
  <r>
    <x v="636"/>
  </r>
  <r>
    <x v="636"/>
  </r>
  <r>
    <x v="86"/>
  </r>
  <r>
    <x v="86"/>
  </r>
  <r>
    <x v="35"/>
  </r>
  <r>
    <x v="65"/>
  </r>
  <r>
    <x v="315"/>
  </r>
  <r>
    <x v="603"/>
  </r>
  <r>
    <x v="603"/>
  </r>
  <r>
    <x v="456"/>
  </r>
  <r>
    <x v="456"/>
  </r>
  <r>
    <x v="637"/>
  </r>
  <r>
    <x v="264"/>
  </r>
  <r>
    <x v="264"/>
  </r>
  <r>
    <x v="264"/>
  </r>
  <r>
    <x v="517"/>
  </r>
  <r>
    <x v="620"/>
  </r>
  <r>
    <x v="620"/>
  </r>
  <r>
    <x v="620"/>
  </r>
  <r>
    <x v="620"/>
  </r>
  <r>
    <x v="52"/>
  </r>
  <r>
    <x v="52"/>
  </r>
  <r>
    <x v="217"/>
  </r>
  <r>
    <x v="217"/>
  </r>
  <r>
    <x v="217"/>
  </r>
  <r>
    <x v="529"/>
  </r>
  <r>
    <x v="529"/>
  </r>
  <r>
    <x v="277"/>
  </r>
  <r>
    <x v="277"/>
  </r>
  <r>
    <x v="277"/>
  </r>
  <r>
    <x v="26"/>
  </r>
  <r>
    <x v="26"/>
  </r>
  <r>
    <x v="412"/>
  </r>
  <r>
    <x v="152"/>
  </r>
  <r>
    <x v="157"/>
  </r>
  <r>
    <x v="127"/>
  </r>
  <r>
    <x v="127"/>
  </r>
  <r>
    <x v="638"/>
  </r>
  <r>
    <x v="638"/>
  </r>
  <r>
    <x v="638"/>
  </r>
  <r>
    <x v="638"/>
  </r>
  <r>
    <x v="638"/>
  </r>
  <r>
    <x v="403"/>
  </r>
  <r>
    <x v="639"/>
  </r>
  <r>
    <x v="639"/>
  </r>
  <r>
    <x v="639"/>
  </r>
  <r>
    <x v="487"/>
  </r>
  <r>
    <x v="487"/>
  </r>
  <r>
    <x v="487"/>
  </r>
  <r>
    <x v="479"/>
  </r>
  <r>
    <x v="479"/>
  </r>
  <r>
    <x v="640"/>
  </r>
  <r>
    <x v="149"/>
  </r>
  <r>
    <x v="149"/>
  </r>
  <r>
    <x v="149"/>
  </r>
  <r>
    <x v="149"/>
  </r>
  <r>
    <x v="149"/>
  </r>
  <r>
    <x v="149"/>
  </r>
  <r>
    <x v="149"/>
  </r>
  <r>
    <x v="641"/>
  </r>
  <r>
    <x v="641"/>
  </r>
  <r>
    <x v="641"/>
  </r>
  <r>
    <x v="641"/>
  </r>
  <r>
    <x v="155"/>
  </r>
  <r>
    <x v="464"/>
  </r>
  <r>
    <x v="174"/>
  </r>
  <r>
    <x v="123"/>
  </r>
  <r>
    <x v="642"/>
  </r>
  <r>
    <x v="643"/>
  </r>
  <r>
    <x v="643"/>
  </r>
  <r>
    <x v="393"/>
  </r>
  <r>
    <x v="595"/>
  </r>
  <r>
    <x v="158"/>
  </r>
  <r>
    <x v="392"/>
  </r>
  <r>
    <x v="392"/>
  </r>
  <r>
    <x v="392"/>
  </r>
  <r>
    <x v="314"/>
  </r>
  <r>
    <x v="262"/>
  </r>
  <r>
    <x v="262"/>
  </r>
  <r>
    <x v="262"/>
  </r>
  <r>
    <x v="262"/>
  </r>
  <r>
    <x v="262"/>
  </r>
  <r>
    <x v="297"/>
  </r>
  <r>
    <x v="285"/>
  </r>
  <r>
    <x v="285"/>
  </r>
  <r>
    <x v="513"/>
  </r>
  <r>
    <x v="152"/>
  </r>
  <r>
    <x v="106"/>
  </r>
  <r>
    <x v="106"/>
  </r>
  <r>
    <x v="374"/>
  </r>
  <r>
    <x v="86"/>
  </r>
  <r>
    <x v="644"/>
  </r>
  <r>
    <x v="229"/>
  </r>
  <r>
    <x v="229"/>
  </r>
  <r>
    <x v="229"/>
  </r>
  <r>
    <x v="151"/>
  </r>
  <r>
    <x v="151"/>
  </r>
  <r>
    <x v="618"/>
  </r>
  <r>
    <x v="618"/>
  </r>
  <r>
    <x v="618"/>
  </r>
  <r>
    <x v="618"/>
  </r>
  <r>
    <x v="618"/>
  </r>
  <r>
    <x v="618"/>
  </r>
  <r>
    <x v="618"/>
  </r>
  <r>
    <x v="459"/>
  </r>
  <r>
    <x v="595"/>
  </r>
  <r>
    <x v="595"/>
  </r>
  <r>
    <x v="595"/>
  </r>
  <r>
    <x v="595"/>
  </r>
  <r>
    <x v="123"/>
  </r>
  <r>
    <x v="452"/>
  </r>
  <r>
    <x v="128"/>
  </r>
  <r>
    <x v="402"/>
  </r>
  <r>
    <x v="402"/>
  </r>
  <r>
    <x v="265"/>
  </r>
  <r>
    <x v="265"/>
  </r>
  <r>
    <x v="8"/>
  </r>
  <r>
    <x v="320"/>
  </r>
  <r>
    <x v="320"/>
  </r>
  <r>
    <x v="264"/>
  </r>
  <r>
    <x v="311"/>
  </r>
  <r>
    <x v="418"/>
  </r>
  <r>
    <x v="417"/>
  </r>
  <r>
    <x v="417"/>
  </r>
  <r>
    <x v="417"/>
  </r>
  <r>
    <x v="417"/>
  </r>
  <r>
    <x v="400"/>
  </r>
  <r>
    <x v="185"/>
  </r>
  <r>
    <x v="185"/>
  </r>
  <r>
    <x v="94"/>
  </r>
  <r>
    <x v="39"/>
  </r>
  <r>
    <x v="39"/>
  </r>
  <r>
    <x v="6"/>
  </r>
  <r>
    <x v="6"/>
  </r>
  <r>
    <x v="645"/>
  </r>
  <r>
    <x v="70"/>
  </r>
  <r>
    <x v="39"/>
  </r>
  <r>
    <x v="39"/>
  </r>
  <r>
    <x v="563"/>
  </r>
  <r>
    <x v="22"/>
  </r>
  <r>
    <x v="22"/>
  </r>
  <r>
    <x v="22"/>
  </r>
  <r>
    <x v="151"/>
  </r>
  <r>
    <x v="151"/>
  </r>
  <r>
    <x v="151"/>
  </r>
  <r>
    <x v="151"/>
  </r>
  <r>
    <x v="131"/>
  </r>
  <r>
    <x v="255"/>
  </r>
  <r>
    <x v="255"/>
  </r>
  <r>
    <x v="255"/>
  </r>
  <r>
    <x v="646"/>
  </r>
  <r>
    <x v="366"/>
  </r>
  <r>
    <x v="366"/>
  </r>
  <r>
    <x v="282"/>
  </r>
  <r>
    <x v="282"/>
  </r>
  <r>
    <x v="282"/>
  </r>
  <r>
    <x v="282"/>
  </r>
  <r>
    <x v="335"/>
  </r>
  <r>
    <x v="335"/>
  </r>
  <r>
    <x v="315"/>
  </r>
  <r>
    <x v="315"/>
  </r>
  <r>
    <x v="315"/>
  </r>
  <r>
    <x v="379"/>
  </r>
  <r>
    <x v="379"/>
  </r>
  <r>
    <x v="379"/>
  </r>
  <r>
    <x v="366"/>
  </r>
  <r>
    <x v="570"/>
  </r>
  <r>
    <x v="647"/>
  </r>
  <r>
    <x v="647"/>
  </r>
  <r>
    <x v="647"/>
  </r>
  <r>
    <x v="648"/>
  </r>
  <r>
    <x v="153"/>
  </r>
  <r>
    <x v="153"/>
  </r>
  <r>
    <x v="153"/>
  </r>
  <r>
    <x v="90"/>
  </r>
  <r>
    <x v="51"/>
  </r>
  <r>
    <x v="51"/>
  </r>
  <r>
    <x v="51"/>
  </r>
  <r>
    <x v="649"/>
  </r>
  <r>
    <x v="650"/>
  </r>
  <r>
    <x v="249"/>
  </r>
  <r>
    <x v="362"/>
  </r>
  <r>
    <x v="362"/>
  </r>
  <r>
    <x v="362"/>
  </r>
  <r>
    <x v="362"/>
  </r>
  <r>
    <x v="551"/>
  </r>
  <r>
    <x v="551"/>
  </r>
  <r>
    <x v="551"/>
  </r>
  <r>
    <x v="124"/>
  </r>
  <r>
    <x v="124"/>
  </r>
  <r>
    <x v="63"/>
  </r>
  <r>
    <x v="63"/>
  </r>
  <r>
    <x v="63"/>
  </r>
  <r>
    <x v="63"/>
  </r>
  <r>
    <x v="651"/>
  </r>
  <r>
    <x v="172"/>
  </r>
  <r>
    <x v="172"/>
  </r>
  <r>
    <x v="492"/>
  </r>
  <r>
    <x v="492"/>
  </r>
  <r>
    <x v="652"/>
  </r>
  <r>
    <x v="652"/>
  </r>
  <r>
    <x v="615"/>
  </r>
  <r>
    <x v="653"/>
  </r>
  <r>
    <x v="654"/>
  </r>
  <r>
    <x v="198"/>
  </r>
  <r>
    <x v="198"/>
  </r>
  <r>
    <x v="198"/>
  </r>
  <r>
    <x v="585"/>
  </r>
  <r>
    <x v="585"/>
  </r>
  <r>
    <x v="597"/>
  </r>
  <r>
    <x v="597"/>
  </r>
  <r>
    <x v="597"/>
  </r>
  <r>
    <x v="597"/>
  </r>
  <r>
    <x v="597"/>
  </r>
  <r>
    <x v="597"/>
  </r>
  <r>
    <x v="597"/>
  </r>
  <r>
    <x v="408"/>
  </r>
  <r>
    <x v="180"/>
  </r>
  <r>
    <x v="120"/>
  </r>
  <r>
    <x v="120"/>
  </r>
  <r>
    <x v="655"/>
  </r>
  <r>
    <x v="655"/>
  </r>
  <r>
    <x v="655"/>
  </r>
  <r>
    <x v="12"/>
  </r>
  <r>
    <x v="12"/>
  </r>
  <r>
    <x v="12"/>
  </r>
  <r>
    <x v="12"/>
  </r>
  <r>
    <x v="12"/>
  </r>
  <r>
    <x v="458"/>
  </r>
  <r>
    <x v="458"/>
  </r>
  <r>
    <x v="458"/>
  </r>
  <r>
    <x v="458"/>
  </r>
  <r>
    <x v="458"/>
  </r>
  <r>
    <x v="458"/>
  </r>
  <r>
    <x v="458"/>
  </r>
  <r>
    <x v="458"/>
  </r>
  <r>
    <x v="656"/>
  </r>
  <r>
    <x v="656"/>
  </r>
  <r>
    <x v="224"/>
  </r>
  <r>
    <x v="657"/>
  </r>
  <r>
    <x v="381"/>
  </r>
  <r>
    <x v="612"/>
  </r>
  <r>
    <x v="526"/>
  </r>
  <r>
    <x v="526"/>
  </r>
  <r>
    <x v="526"/>
  </r>
  <r>
    <x v="526"/>
  </r>
  <r>
    <x v="577"/>
  </r>
  <r>
    <x v="577"/>
  </r>
  <r>
    <x v="577"/>
  </r>
  <r>
    <x v="302"/>
  </r>
  <r>
    <x v="658"/>
  </r>
  <r>
    <x v="525"/>
  </r>
  <r>
    <x v="184"/>
  </r>
  <r>
    <x v="184"/>
  </r>
  <r>
    <x v="184"/>
  </r>
  <r>
    <x v="184"/>
  </r>
  <r>
    <x v="482"/>
  </r>
  <r>
    <x v="271"/>
  </r>
  <r>
    <x v="300"/>
  </r>
  <r>
    <x v="3"/>
  </r>
  <r>
    <x v="3"/>
  </r>
  <r>
    <x v="3"/>
  </r>
  <r>
    <x v="164"/>
  </r>
  <r>
    <x v="164"/>
  </r>
  <r>
    <x v="659"/>
  </r>
  <r>
    <x v="659"/>
  </r>
  <r>
    <x v="659"/>
  </r>
  <r>
    <x v="659"/>
  </r>
  <r>
    <x v="100"/>
  </r>
  <r>
    <x v="535"/>
  </r>
  <r>
    <x v="625"/>
  </r>
  <r>
    <x v="625"/>
  </r>
  <r>
    <x v="625"/>
  </r>
  <r>
    <x v="348"/>
  </r>
  <r>
    <x v="348"/>
  </r>
  <r>
    <x v="348"/>
  </r>
  <r>
    <x v="348"/>
  </r>
  <r>
    <x v="348"/>
  </r>
  <r>
    <x v="564"/>
  </r>
  <r>
    <x v="564"/>
  </r>
  <r>
    <x v="564"/>
  </r>
  <r>
    <x v="5"/>
  </r>
  <r>
    <x v="307"/>
  </r>
  <r>
    <x v="367"/>
  </r>
  <r>
    <x v="660"/>
  </r>
  <r>
    <x v="660"/>
  </r>
  <r>
    <x v="176"/>
  </r>
  <r>
    <x v="288"/>
  </r>
  <r>
    <x v="287"/>
  </r>
  <r>
    <x v="318"/>
  </r>
  <r>
    <x v="53"/>
  </r>
  <r>
    <x v="661"/>
  </r>
  <r>
    <x v="247"/>
  </r>
  <r>
    <x v="349"/>
  </r>
  <r>
    <x v="349"/>
  </r>
  <r>
    <x v="349"/>
  </r>
  <r>
    <x v="211"/>
  </r>
  <r>
    <x v="211"/>
  </r>
  <r>
    <x v="211"/>
  </r>
  <r>
    <x v="662"/>
  </r>
  <r>
    <x v="662"/>
  </r>
  <r>
    <x v="453"/>
  </r>
  <r>
    <x v="513"/>
  </r>
  <r>
    <x v="513"/>
  </r>
  <r>
    <x v="513"/>
  </r>
  <r>
    <x v="20"/>
  </r>
  <r>
    <x v="20"/>
  </r>
  <r>
    <x v="20"/>
  </r>
  <r>
    <x v="20"/>
  </r>
  <r>
    <x v="174"/>
  </r>
  <r>
    <x v="52"/>
  </r>
  <r>
    <x v="52"/>
  </r>
  <r>
    <x v="52"/>
  </r>
  <r>
    <x v="52"/>
  </r>
  <r>
    <x v="329"/>
  </r>
  <r>
    <x v="524"/>
  </r>
  <r>
    <x v="563"/>
  </r>
  <r>
    <x v="563"/>
  </r>
  <r>
    <x v="360"/>
  </r>
  <r>
    <x v="360"/>
  </r>
  <r>
    <x v="114"/>
  </r>
  <r>
    <x v="114"/>
  </r>
  <r>
    <x v="236"/>
  </r>
  <r>
    <x v="147"/>
  </r>
  <r>
    <x v="320"/>
  </r>
  <r>
    <x v="82"/>
  </r>
  <r>
    <x v="77"/>
  </r>
  <r>
    <x v="663"/>
  </r>
  <r>
    <x v="663"/>
  </r>
  <r>
    <x v="663"/>
  </r>
  <r>
    <x v="663"/>
  </r>
  <r>
    <x v="663"/>
  </r>
  <r>
    <x v="366"/>
  </r>
  <r>
    <x v="366"/>
  </r>
  <r>
    <x v="50"/>
  </r>
  <r>
    <x v="410"/>
  </r>
  <r>
    <x v="410"/>
  </r>
  <r>
    <x v="410"/>
  </r>
  <r>
    <x v="410"/>
  </r>
  <r>
    <x v="664"/>
  </r>
  <r>
    <x v="664"/>
  </r>
  <r>
    <x v="486"/>
  </r>
  <r>
    <x v="486"/>
  </r>
  <r>
    <x v="486"/>
  </r>
  <r>
    <x v="576"/>
  </r>
  <r>
    <x v="525"/>
  </r>
  <r>
    <x v="425"/>
  </r>
  <r>
    <x v="302"/>
  </r>
  <r>
    <x v="302"/>
  </r>
  <r>
    <x v="665"/>
  </r>
  <r>
    <x v="363"/>
  </r>
  <r>
    <x v="363"/>
  </r>
  <r>
    <x v="138"/>
  </r>
  <r>
    <x v="138"/>
  </r>
  <r>
    <x v="666"/>
  </r>
  <r>
    <x v="666"/>
  </r>
  <r>
    <x v="666"/>
  </r>
  <r>
    <x v="666"/>
  </r>
  <r>
    <x v="367"/>
  </r>
  <r>
    <x v="605"/>
  </r>
  <r>
    <x v="302"/>
  </r>
  <r>
    <x v="406"/>
  </r>
  <r>
    <x v="595"/>
  </r>
  <r>
    <x v="595"/>
  </r>
  <r>
    <x v="185"/>
  </r>
  <r>
    <x v="542"/>
  </r>
  <r>
    <x v="542"/>
  </r>
  <r>
    <x v="542"/>
  </r>
  <r>
    <x v="542"/>
  </r>
  <r>
    <x v="542"/>
  </r>
  <r>
    <x v="542"/>
  </r>
  <r>
    <x v="542"/>
  </r>
  <r>
    <x v="542"/>
  </r>
  <r>
    <x v="542"/>
  </r>
  <r>
    <x v="550"/>
  </r>
  <r>
    <x v="148"/>
  </r>
  <r>
    <x v="281"/>
  </r>
  <r>
    <x v="30"/>
  </r>
  <r>
    <x v="584"/>
  </r>
  <r>
    <x v="584"/>
  </r>
  <r>
    <x v="584"/>
  </r>
  <r>
    <x v="584"/>
  </r>
  <r>
    <x v="584"/>
  </r>
  <r>
    <x v="584"/>
  </r>
  <r>
    <x v="59"/>
  </r>
  <r>
    <x v="59"/>
  </r>
  <r>
    <x v="477"/>
  </r>
  <r>
    <x v="477"/>
  </r>
  <r>
    <x v="477"/>
  </r>
  <r>
    <x v="556"/>
  </r>
  <r>
    <x v="556"/>
  </r>
  <r>
    <x v="556"/>
  </r>
  <r>
    <x v="556"/>
  </r>
  <r>
    <x v="556"/>
  </r>
  <r>
    <x v="556"/>
  </r>
  <r>
    <x v="556"/>
  </r>
  <r>
    <x v="667"/>
  </r>
  <r>
    <x v="11"/>
  </r>
  <r>
    <x v="11"/>
  </r>
  <r>
    <x v="11"/>
  </r>
  <r>
    <x v="421"/>
  </r>
  <r>
    <x v="37"/>
  </r>
  <r>
    <x v="614"/>
  </r>
  <r>
    <x v="614"/>
  </r>
  <r>
    <x v="614"/>
  </r>
  <r>
    <x v="614"/>
  </r>
  <r>
    <x v="654"/>
  </r>
  <r>
    <x v="654"/>
  </r>
  <r>
    <x v="124"/>
  </r>
  <r>
    <x v="124"/>
  </r>
  <r>
    <x v="588"/>
  </r>
  <r>
    <x v="588"/>
  </r>
  <r>
    <x v="588"/>
  </r>
  <r>
    <x v="401"/>
  </r>
  <r>
    <x v="634"/>
  </r>
  <r>
    <x v="668"/>
  </r>
  <r>
    <x v="668"/>
  </r>
  <r>
    <x v="334"/>
  </r>
  <r>
    <x v="385"/>
  </r>
  <r>
    <x v="137"/>
  </r>
  <r>
    <x v="137"/>
  </r>
  <r>
    <x v="137"/>
  </r>
  <r>
    <x v="669"/>
  </r>
  <r>
    <x v="670"/>
  </r>
  <r>
    <x v="670"/>
  </r>
  <r>
    <x v="670"/>
  </r>
  <r>
    <x v="670"/>
  </r>
  <r>
    <x v="670"/>
  </r>
  <r>
    <x v="670"/>
  </r>
  <r>
    <x v="277"/>
  </r>
  <r>
    <x v="277"/>
  </r>
  <r>
    <x v="277"/>
  </r>
  <r>
    <x v="277"/>
  </r>
  <r>
    <x v="128"/>
  </r>
  <r>
    <x v="128"/>
  </r>
  <r>
    <x v="7"/>
  </r>
  <r>
    <x v="301"/>
  </r>
  <r>
    <x v="301"/>
  </r>
  <r>
    <x v="301"/>
  </r>
  <r>
    <x v="301"/>
  </r>
  <r>
    <x v="237"/>
  </r>
  <r>
    <x v="289"/>
  </r>
  <r>
    <x v="289"/>
  </r>
  <r>
    <x v="289"/>
  </r>
  <r>
    <x v="289"/>
  </r>
  <r>
    <x v="598"/>
  </r>
  <r>
    <x v="598"/>
  </r>
  <r>
    <x v="446"/>
  </r>
  <r>
    <x v="273"/>
  </r>
  <r>
    <x v="454"/>
  </r>
  <r>
    <x v="244"/>
  </r>
  <r>
    <x v="244"/>
  </r>
  <r>
    <x v="244"/>
  </r>
  <r>
    <x v="38"/>
  </r>
  <r>
    <x v="83"/>
  </r>
  <r>
    <x v="190"/>
  </r>
  <r>
    <x v="454"/>
  </r>
  <r>
    <x v="454"/>
  </r>
  <r>
    <x v="454"/>
  </r>
  <r>
    <x v="369"/>
  </r>
  <r>
    <x v="292"/>
  </r>
  <r>
    <x v="356"/>
  </r>
  <r>
    <x v="356"/>
  </r>
  <r>
    <x v="356"/>
  </r>
  <r>
    <x v="444"/>
  </r>
  <r>
    <x v="571"/>
  </r>
  <r>
    <x v="142"/>
  </r>
  <r>
    <x v="142"/>
  </r>
  <r>
    <x v="261"/>
  </r>
  <r>
    <x v="261"/>
  </r>
  <r>
    <x v="671"/>
  </r>
  <r>
    <x v="671"/>
  </r>
  <r>
    <x v="671"/>
  </r>
  <r>
    <x v="671"/>
  </r>
  <r>
    <x v="536"/>
  </r>
  <r>
    <x v="123"/>
  </r>
  <r>
    <x v="123"/>
  </r>
  <r>
    <x v="123"/>
  </r>
  <r>
    <x v="123"/>
  </r>
  <r>
    <x v="279"/>
  </r>
  <r>
    <x v="468"/>
  </r>
  <r>
    <x v="468"/>
  </r>
  <r>
    <x v="468"/>
  </r>
  <r>
    <x v="468"/>
  </r>
  <r>
    <x v="270"/>
  </r>
  <r>
    <x v="672"/>
  </r>
  <r>
    <x v="439"/>
  </r>
  <r>
    <x v="439"/>
  </r>
  <r>
    <x v="232"/>
  </r>
  <r>
    <x v="270"/>
  </r>
  <r>
    <x v="673"/>
  </r>
  <r>
    <x v="673"/>
  </r>
  <r>
    <x v="426"/>
  </r>
  <r>
    <x v="426"/>
  </r>
  <r>
    <x v="426"/>
  </r>
  <r>
    <x v="674"/>
  </r>
  <r>
    <x v="674"/>
  </r>
  <r>
    <x v="674"/>
  </r>
  <r>
    <x v="122"/>
  </r>
  <r>
    <x v="171"/>
  </r>
  <r>
    <x v="171"/>
  </r>
  <r>
    <x v="171"/>
  </r>
  <r>
    <x v="201"/>
  </r>
  <r>
    <x v="201"/>
  </r>
  <r>
    <x v="201"/>
  </r>
  <r>
    <x v="201"/>
  </r>
  <r>
    <x v="201"/>
  </r>
  <r>
    <x v="201"/>
  </r>
  <r>
    <x v="201"/>
  </r>
  <r>
    <x v="201"/>
  </r>
  <r>
    <x v="201"/>
  </r>
  <r>
    <x v="201"/>
  </r>
  <r>
    <x v="141"/>
  </r>
  <r>
    <x v="57"/>
  </r>
  <r>
    <x v="407"/>
  </r>
  <r>
    <x v="407"/>
  </r>
  <r>
    <x v="488"/>
  </r>
  <r>
    <x v="488"/>
  </r>
  <r>
    <x v="488"/>
  </r>
  <r>
    <x v="494"/>
  </r>
  <r>
    <x v="494"/>
  </r>
  <r>
    <x v="494"/>
  </r>
  <r>
    <x v="649"/>
  </r>
  <r>
    <x v="220"/>
  </r>
  <r>
    <x v="675"/>
  </r>
  <r>
    <x v="675"/>
  </r>
  <r>
    <x v="402"/>
  </r>
  <r>
    <x v="584"/>
  </r>
  <r>
    <x v="565"/>
  </r>
  <r>
    <x v="28"/>
  </r>
  <r>
    <x v="394"/>
  </r>
  <r>
    <x v="271"/>
  </r>
  <r>
    <x v="676"/>
  </r>
  <r>
    <x v="238"/>
  </r>
  <r>
    <x v="238"/>
  </r>
  <r>
    <x v="522"/>
  </r>
  <r>
    <x v="522"/>
  </r>
  <r>
    <x v="522"/>
  </r>
  <r>
    <x v="522"/>
  </r>
  <r>
    <x v="569"/>
  </r>
  <r>
    <x v="569"/>
  </r>
  <r>
    <x v="569"/>
  </r>
  <r>
    <x v="569"/>
  </r>
  <r>
    <x v="569"/>
  </r>
  <r>
    <x v="569"/>
  </r>
  <r>
    <x v="569"/>
  </r>
  <r>
    <x v="677"/>
  </r>
  <r>
    <x v="677"/>
  </r>
  <r>
    <x v="678"/>
  </r>
  <r>
    <x v="236"/>
  </r>
  <r>
    <x v="236"/>
  </r>
  <r>
    <x v="236"/>
  </r>
  <r>
    <x v="236"/>
  </r>
  <r>
    <x v="327"/>
  </r>
  <r>
    <x v="327"/>
  </r>
  <r>
    <x v="327"/>
  </r>
  <r>
    <x v="327"/>
  </r>
  <r>
    <x v="171"/>
  </r>
  <r>
    <x v="171"/>
  </r>
  <r>
    <x v="549"/>
  </r>
  <r>
    <x v="549"/>
  </r>
  <r>
    <x v="549"/>
  </r>
  <r>
    <x v="418"/>
  </r>
  <r>
    <x v="418"/>
  </r>
  <r>
    <x v="88"/>
  </r>
  <r>
    <x v="88"/>
  </r>
  <r>
    <x v="88"/>
  </r>
  <r>
    <x v="88"/>
  </r>
  <r>
    <x v="88"/>
  </r>
  <r>
    <x v="679"/>
  </r>
  <r>
    <x v="680"/>
  </r>
  <r>
    <x v="210"/>
  </r>
  <r>
    <x v="210"/>
  </r>
  <r>
    <x v="210"/>
  </r>
  <r>
    <x v="210"/>
  </r>
  <r>
    <x v="681"/>
  </r>
  <r>
    <x v="681"/>
  </r>
  <r>
    <x v="681"/>
  </r>
  <r>
    <x v="681"/>
  </r>
  <r>
    <x v="681"/>
  </r>
  <r>
    <x v="681"/>
  </r>
  <r>
    <x v="681"/>
  </r>
  <r>
    <x v="92"/>
  </r>
  <r>
    <x v="92"/>
  </r>
  <r>
    <x v="92"/>
  </r>
  <r>
    <x v="92"/>
  </r>
  <r>
    <x v="654"/>
  </r>
  <r>
    <x v="654"/>
  </r>
  <r>
    <x v="682"/>
  </r>
  <r>
    <x v="682"/>
  </r>
  <r>
    <x v="682"/>
  </r>
  <r>
    <x v="59"/>
  </r>
  <r>
    <x v="445"/>
  </r>
  <r>
    <x v="102"/>
  </r>
  <r>
    <x v="102"/>
  </r>
  <r>
    <x v="102"/>
  </r>
  <r>
    <x v="483"/>
  </r>
  <r>
    <x v="483"/>
  </r>
  <r>
    <x v="260"/>
  </r>
  <r>
    <x v="260"/>
  </r>
  <r>
    <x v="260"/>
  </r>
  <r>
    <x v="371"/>
  </r>
  <r>
    <x v="413"/>
  </r>
  <r>
    <x v="413"/>
  </r>
  <r>
    <x v="413"/>
  </r>
  <r>
    <x v="570"/>
  </r>
  <r>
    <x v="477"/>
  </r>
  <r>
    <x v="92"/>
  </r>
  <r>
    <x v="92"/>
  </r>
  <r>
    <x v="92"/>
  </r>
  <r>
    <x v="92"/>
  </r>
  <r>
    <x v="92"/>
  </r>
  <r>
    <x v="92"/>
  </r>
  <r>
    <x v="624"/>
  </r>
  <r>
    <x v="624"/>
  </r>
  <r>
    <x v="436"/>
  </r>
  <r>
    <x v="570"/>
  </r>
  <r>
    <x v="570"/>
  </r>
  <r>
    <x v="177"/>
  </r>
  <r>
    <x v="134"/>
  </r>
  <r>
    <x v="134"/>
  </r>
  <r>
    <x v="134"/>
  </r>
  <r>
    <x v="134"/>
  </r>
  <r>
    <x v="26"/>
  </r>
  <r>
    <x v="511"/>
  </r>
  <r>
    <x v="440"/>
  </r>
  <r>
    <x v="440"/>
  </r>
  <r>
    <x v="440"/>
  </r>
  <r>
    <x v="108"/>
  </r>
  <r>
    <x v="108"/>
  </r>
  <r>
    <x v="108"/>
  </r>
  <r>
    <x v="108"/>
  </r>
  <r>
    <x v="520"/>
  </r>
  <r>
    <x v="110"/>
  </r>
  <r>
    <x v="110"/>
  </r>
  <r>
    <x v="110"/>
  </r>
  <r>
    <x v="639"/>
  </r>
  <r>
    <x v="639"/>
  </r>
  <r>
    <x v="639"/>
  </r>
  <r>
    <x v="403"/>
  </r>
  <r>
    <x v="403"/>
  </r>
  <r>
    <x v="403"/>
  </r>
  <r>
    <x v="326"/>
  </r>
  <r>
    <x v="326"/>
  </r>
  <r>
    <x v="552"/>
  </r>
  <r>
    <x v="209"/>
  </r>
  <r>
    <x v="349"/>
  </r>
  <r>
    <x v="349"/>
  </r>
  <r>
    <x v="349"/>
  </r>
  <r>
    <x v="349"/>
  </r>
  <r>
    <x v="127"/>
  </r>
  <r>
    <x v="171"/>
  </r>
  <r>
    <x v="678"/>
  </r>
  <r>
    <x v="316"/>
  </r>
  <r>
    <x v="316"/>
  </r>
  <r>
    <x v="316"/>
  </r>
  <r>
    <x v="683"/>
  </r>
  <r>
    <x v="683"/>
  </r>
  <r>
    <x v="683"/>
  </r>
  <r>
    <x v="569"/>
  </r>
  <r>
    <x v="569"/>
  </r>
  <r>
    <x v="581"/>
  </r>
  <r>
    <x v="165"/>
  </r>
  <r>
    <x v="165"/>
  </r>
  <r>
    <x v="604"/>
  </r>
  <r>
    <x v="684"/>
  </r>
  <r>
    <x v="38"/>
  </r>
  <r>
    <x v="538"/>
  </r>
  <r>
    <x v="14"/>
  </r>
  <r>
    <x v="14"/>
  </r>
  <r>
    <x v="340"/>
  </r>
  <r>
    <x v="661"/>
  </r>
  <r>
    <x v="454"/>
  </r>
  <r>
    <x v="309"/>
  </r>
  <r>
    <x v="387"/>
  </r>
  <r>
    <x v="387"/>
  </r>
  <r>
    <x v="382"/>
  </r>
  <r>
    <x v="382"/>
  </r>
  <r>
    <x v="382"/>
  </r>
  <r>
    <x v="369"/>
  </r>
  <r>
    <x v="451"/>
  </r>
  <r>
    <x v="340"/>
  </r>
  <r>
    <x v="340"/>
  </r>
  <r>
    <x v="340"/>
  </r>
  <r>
    <x v="340"/>
  </r>
  <r>
    <x v="340"/>
  </r>
  <r>
    <x v="685"/>
  </r>
  <r>
    <x v="685"/>
  </r>
  <r>
    <x v="197"/>
  </r>
  <r>
    <x v="309"/>
  </r>
  <r>
    <x v="69"/>
  </r>
  <r>
    <x v="150"/>
  </r>
  <r>
    <x v="150"/>
  </r>
  <r>
    <x v="150"/>
  </r>
  <r>
    <x v="550"/>
  </r>
  <r>
    <x v="686"/>
  </r>
  <r>
    <x v="410"/>
  </r>
  <r>
    <x v="592"/>
  </r>
  <r>
    <x v="236"/>
  </r>
  <r>
    <x v="236"/>
  </r>
  <r>
    <x v="191"/>
  </r>
  <r>
    <x v="286"/>
  </r>
  <r>
    <x v="286"/>
  </r>
  <r>
    <x v="286"/>
  </r>
  <r>
    <x v="286"/>
  </r>
  <r>
    <x v="169"/>
  </r>
  <r>
    <x v="659"/>
  </r>
  <r>
    <x v="659"/>
  </r>
  <r>
    <x v="659"/>
  </r>
  <r>
    <x v="659"/>
  </r>
  <r>
    <x v="659"/>
  </r>
  <r>
    <x v="194"/>
  </r>
  <r>
    <x v="194"/>
  </r>
  <r>
    <x v="51"/>
  </r>
  <r>
    <x v="51"/>
  </r>
  <r>
    <x v="51"/>
  </r>
  <r>
    <x v="51"/>
  </r>
  <r>
    <x v="51"/>
  </r>
  <r>
    <x v="51"/>
  </r>
  <r>
    <x v="583"/>
  </r>
  <r>
    <x v="456"/>
  </r>
  <r>
    <x v="456"/>
  </r>
  <r>
    <x v="173"/>
  </r>
  <r>
    <x v="657"/>
  </r>
  <r>
    <x v="657"/>
  </r>
  <r>
    <x v="316"/>
  </r>
  <r>
    <x v="316"/>
  </r>
  <r>
    <x v="481"/>
  </r>
  <r>
    <x v="687"/>
  </r>
  <r>
    <x v="687"/>
  </r>
  <r>
    <x v="687"/>
  </r>
  <r>
    <x v="687"/>
  </r>
  <r>
    <x v="687"/>
  </r>
  <r>
    <x v="687"/>
  </r>
  <r>
    <x v="103"/>
  </r>
  <r>
    <x v="386"/>
  </r>
  <r>
    <x v="616"/>
  </r>
  <r>
    <x v="96"/>
  </r>
  <r>
    <x v="96"/>
  </r>
  <r>
    <x v="96"/>
  </r>
  <r>
    <x v="671"/>
  </r>
  <r>
    <x v="537"/>
  </r>
  <r>
    <x v="537"/>
  </r>
  <r>
    <x v="537"/>
  </r>
  <r>
    <x v="537"/>
  </r>
  <r>
    <x v="189"/>
  </r>
  <r>
    <x v="189"/>
  </r>
  <r>
    <x v="688"/>
  </r>
  <r>
    <x v="688"/>
  </r>
  <r>
    <x v="688"/>
  </r>
  <r>
    <x v="262"/>
  </r>
  <r>
    <x v="262"/>
  </r>
  <r>
    <x v="262"/>
  </r>
  <r>
    <x v="689"/>
  </r>
  <r>
    <x v="689"/>
  </r>
  <r>
    <x v="32"/>
  </r>
  <r>
    <x v="463"/>
  </r>
  <r>
    <x v="463"/>
  </r>
  <r>
    <x v="463"/>
  </r>
  <r>
    <x v="463"/>
  </r>
  <r>
    <x v="463"/>
  </r>
  <r>
    <x v="463"/>
  </r>
  <r>
    <x v="463"/>
  </r>
  <r>
    <x v="690"/>
  </r>
  <r>
    <x v="472"/>
  </r>
  <r>
    <x v="472"/>
  </r>
  <r>
    <x v="471"/>
  </r>
  <r>
    <x v="674"/>
  </r>
  <r>
    <x v="568"/>
  </r>
  <r>
    <x v="184"/>
  </r>
  <r>
    <x v="184"/>
  </r>
  <r>
    <x v="184"/>
  </r>
  <r>
    <x v="184"/>
  </r>
  <r>
    <x v="184"/>
  </r>
  <r>
    <x v="184"/>
  </r>
  <r>
    <x v="184"/>
  </r>
  <r>
    <x v="184"/>
  </r>
  <r>
    <x v="184"/>
  </r>
  <r>
    <x v="184"/>
  </r>
  <r>
    <x v="120"/>
  </r>
  <r>
    <x v="120"/>
  </r>
  <r>
    <x v="120"/>
  </r>
  <r>
    <x v="484"/>
  </r>
  <r>
    <x v="484"/>
  </r>
  <r>
    <x v="484"/>
  </r>
  <r>
    <x v="484"/>
  </r>
  <r>
    <x v="484"/>
  </r>
  <r>
    <x v="169"/>
  </r>
  <r>
    <x v="169"/>
  </r>
  <r>
    <x v="169"/>
  </r>
  <r>
    <x v="691"/>
  </r>
  <r>
    <x v="692"/>
  </r>
  <r>
    <x v="693"/>
  </r>
  <r>
    <x v="492"/>
  </r>
  <r>
    <x v="62"/>
  </r>
  <r>
    <x v="602"/>
  </r>
  <r>
    <x v="60"/>
  </r>
  <r>
    <x v="167"/>
  </r>
  <r>
    <x v="658"/>
  </r>
  <r>
    <x v="199"/>
  </r>
  <r>
    <x v="498"/>
  </r>
  <r>
    <x v="498"/>
  </r>
  <r>
    <x v="497"/>
  </r>
  <r>
    <x v="497"/>
  </r>
  <r>
    <x v="481"/>
  </r>
  <r>
    <x v="633"/>
  </r>
  <r>
    <x v="642"/>
  </r>
  <r>
    <x v="642"/>
  </r>
  <r>
    <x v="642"/>
  </r>
  <r>
    <x v="330"/>
  </r>
  <r>
    <x v="33"/>
  </r>
  <r>
    <x v="33"/>
  </r>
  <r>
    <x v="441"/>
  </r>
  <r>
    <x v="441"/>
  </r>
  <r>
    <x v="347"/>
  </r>
  <r>
    <x v="128"/>
  </r>
  <r>
    <x v="128"/>
  </r>
  <r>
    <x v="656"/>
  </r>
  <r>
    <x v="656"/>
  </r>
  <r>
    <x v="656"/>
  </r>
  <r>
    <x v="656"/>
  </r>
  <r>
    <x v="656"/>
  </r>
  <r>
    <x v="656"/>
  </r>
  <r>
    <x v="656"/>
  </r>
  <r>
    <x v="656"/>
  </r>
  <r>
    <x v="656"/>
  </r>
  <r>
    <x v="392"/>
  </r>
  <r>
    <x v="53"/>
  </r>
  <r>
    <x v="53"/>
  </r>
  <r>
    <x v="694"/>
  </r>
  <r>
    <x v="694"/>
  </r>
  <r>
    <x v="694"/>
  </r>
  <r>
    <x v="694"/>
  </r>
  <r>
    <x v="694"/>
  </r>
  <r>
    <x v="251"/>
  </r>
  <r>
    <x v="251"/>
  </r>
  <r>
    <x v="22"/>
  </r>
  <r>
    <x v="402"/>
  </r>
  <r>
    <x v="387"/>
  </r>
  <r>
    <x v="354"/>
  </r>
  <r>
    <x v="354"/>
  </r>
  <r>
    <x v="528"/>
  </r>
  <r>
    <x v="297"/>
  </r>
  <r>
    <x v="297"/>
  </r>
  <r>
    <x v="678"/>
  </r>
  <r>
    <x v="678"/>
  </r>
  <r>
    <x v="695"/>
  </r>
  <r>
    <x v="111"/>
  </r>
  <r>
    <x v="111"/>
  </r>
  <r>
    <x v="111"/>
  </r>
  <r>
    <x v="337"/>
  </r>
  <r>
    <x v="337"/>
  </r>
  <r>
    <x v="337"/>
  </r>
  <r>
    <x v="337"/>
  </r>
  <r>
    <x v="337"/>
  </r>
  <r>
    <x v="509"/>
  </r>
  <r>
    <x v="185"/>
  </r>
  <r>
    <x v="1"/>
  </r>
  <r>
    <x v="1"/>
  </r>
  <r>
    <x v="1"/>
  </r>
  <r>
    <x v="481"/>
  </r>
  <r>
    <x v="417"/>
  </r>
  <r>
    <x v="696"/>
  </r>
  <r>
    <x v="15"/>
  </r>
  <r>
    <x v="15"/>
  </r>
  <r>
    <x v="15"/>
  </r>
  <r>
    <x v="613"/>
  </r>
  <r>
    <x v="562"/>
  </r>
  <r>
    <x v="562"/>
  </r>
  <r>
    <x v="562"/>
  </r>
  <r>
    <x v="44"/>
  </r>
  <r>
    <x v="44"/>
  </r>
  <r>
    <x v="44"/>
  </r>
  <r>
    <x v="44"/>
  </r>
  <r>
    <x v="246"/>
  </r>
  <r>
    <x v="246"/>
  </r>
  <r>
    <x v="240"/>
  </r>
  <r>
    <x v="236"/>
  </r>
  <r>
    <x v="236"/>
  </r>
  <r>
    <x v="463"/>
  </r>
  <r>
    <x v="463"/>
  </r>
  <r>
    <x v="463"/>
  </r>
  <r>
    <x v="602"/>
  </r>
  <r>
    <x v="602"/>
  </r>
  <r>
    <x v="602"/>
  </r>
  <r>
    <x v="602"/>
  </r>
  <r>
    <x v="602"/>
  </r>
  <r>
    <x v="602"/>
  </r>
  <r>
    <x v="602"/>
  </r>
  <r>
    <x v="582"/>
  </r>
  <r>
    <x v="582"/>
  </r>
  <r>
    <x v="697"/>
  </r>
  <r>
    <x v="697"/>
  </r>
  <r>
    <x v="413"/>
  </r>
  <r>
    <x v="344"/>
  </r>
  <r>
    <x v="344"/>
  </r>
  <r>
    <x v="344"/>
  </r>
  <r>
    <x v="685"/>
  </r>
  <r>
    <x v="685"/>
  </r>
  <r>
    <x v="511"/>
  </r>
  <r>
    <x v="511"/>
  </r>
  <r>
    <x v="511"/>
  </r>
  <r>
    <x v="698"/>
  </r>
  <r>
    <x v="698"/>
  </r>
  <r>
    <x v="295"/>
  </r>
  <r>
    <x v="295"/>
  </r>
  <r>
    <x v="531"/>
  </r>
  <r>
    <x v="418"/>
  </r>
  <r>
    <x v="418"/>
  </r>
  <r>
    <x v="456"/>
  </r>
  <r>
    <x v="456"/>
  </r>
  <r>
    <x v="456"/>
  </r>
  <r>
    <x v="612"/>
  </r>
  <r>
    <x v="612"/>
  </r>
  <r>
    <x v="132"/>
  </r>
  <r>
    <x v="132"/>
  </r>
  <r>
    <x v="132"/>
  </r>
  <r>
    <x v="132"/>
  </r>
  <r>
    <x v="678"/>
  </r>
  <r>
    <x v="508"/>
  </r>
  <r>
    <x v="508"/>
  </r>
  <r>
    <x v="699"/>
  </r>
  <r>
    <x v="699"/>
  </r>
  <r>
    <x v="699"/>
  </r>
  <r>
    <x v="290"/>
  </r>
  <r>
    <x v="359"/>
  </r>
  <r>
    <x v="359"/>
  </r>
  <r>
    <x v="359"/>
  </r>
  <r>
    <x v="431"/>
  </r>
  <r>
    <x v="70"/>
  </r>
  <r>
    <x v="700"/>
  </r>
  <r>
    <x v="700"/>
  </r>
  <r>
    <x v="700"/>
  </r>
  <r>
    <x v="634"/>
  </r>
  <r>
    <x v="320"/>
  </r>
  <r>
    <x v="320"/>
  </r>
  <r>
    <x v="218"/>
  </r>
  <r>
    <x v="74"/>
  </r>
  <r>
    <x v="74"/>
  </r>
  <r>
    <x v="240"/>
  </r>
  <r>
    <x v="240"/>
  </r>
  <r>
    <x v="240"/>
  </r>
  <r>
    <x v="240"/>
  </r>
  <r>
    <x v="126"/>
  </r>
  <r>
    <x v="206"/>
  </r>
  <r>
    <x v="561"/>
  </r>
  <r>
    <x v="116"/>
  </r>
  <r>
    <x v="488"/>
  </r>
  <r>
    <x v="488"/>
  </r>
  <r>
    <x v="701"/>
  </r>
  <r>
    <x v="701"/>
  </r>
  <r>
    <x v="472"/>
  </r>
  <r>
    <x v="337"/>
  </r>
  <r>
    <x v="467"/>
  </r>
  <r>
    <x v="467"/>
  </r>
  <r>
    <x v="325"/>
  </r>
  <r>
    <x v="337"/>
  </r>
  <r>
    <x v="542"/>
  </r>
  <r>
    <x v="702"/>
  </r>
  <r>
    <x v="610"/>
  </r>
  <r>
    <x v="560"/>
  </r>
  <r>
    <x v="560"/>
  </r>
  <r>
    <x v="291"/>
  </r>
  <r>
    <x v="291"/>
  </r>
  <r>
    <x v="291"/>
  </r>
  <r>
    <x v="291"/>
  </r>
  <r>
    <x v="256"/>
  </r>
  <r>
    <x v="256"/>
  </r>
  <r>
    <x v="256"/>
  </r>
  <r>
    <x v="667"/>
  </r>
  <r>
    <x v="667"/>
  </r>
  <r>
    <x v="561"/>
  </r>
  <r>
    <x v="628"/>
  </r>
  <r>
    <x v="547"/>
  </r>
  <r>
    <x v="549"/>
  </r>
  <r>
    <x v="549"/>
  </r>
  <r>
    <x v="703"/>
  </r>
  <r>
    <x v="703"/>
  </r>
  <r>
    <x v="489"/>
  </r>
  <r>
    <x v="114"/>
  </r>
  <r>
    <x v="114"/>
  </r>
  <r>
    <x v="114"/>
  </r>
  <r>
    <x v="114"/>
  </r>
  <r>
    <x v="114"/>
  </r>
  <r>
    <x v="670"/>
  </r>
  <r>
    <x v="392"/>
  </r>
  <r>
    <x v="392"/>
  </r>
  <r>
    <x v="392"/>
  </r>
  <r>
    <x v="75"/>
  </r>
  <r>
    <x v="75"/>
  </r>
  <r>
    <x v="192"/>
  </r>
  <r>
    <x v="192"/>
  </r>
  <r>
    <x v="205"/>
  </r>
  <r>
    <x v="264"/>
  </r>
  <r>
    <x v="264"/>
  </r>
  <r>
    <x v="41"/>
  </r>
  <r>
    <x v="704"/>
  </r>
  <r>
    <x v="704"/>
  </r>
  <r>
    <x v="471"/>
  </r>
  <r>
    <x v="471"/>
  </r>
  <r>
    <x v="634"/>
  </r>
  <r>
    <x v="693"/>
  </r>
  <r>
    <x v="61"/>
  </r>
  <r>
    <x v="61"/>
  </r>
  <r>
    <x v="405"/>
  </r>
  <r>
    <x v="405"/>
  </r>
  <r>
    <x v="405"/>
  </r>
  <r>
    <x v="463"/>
  </r>
  <r>
    <x v="62"/>
  </r>
  <r>
    <x v="62"/>
  </r>
  <r>
    <x v="508"/>
  </r>
  <r>
    <x v="508"/>
  </r>
  <r>
    <x v="178"/>
  </r>
  <r>
    <x v="270"/>
  </r>
  <r>
    <x v="270"/>
  </r>
  <r>
    <x v="282"/>
  </r>
  <r>
    <x v="149"/>
  </r>
  <r>
    <x v="149"/>
  </r>
  <r>
    <x v="235"/>
  </r>
  <r>
    <x v="344"/>
  </r>
  <r>
    <x v="705"/>
  </r>
  <r>
    <x v="705"/>
  </r>
  <r>
    <x v="705"/>
  </r>
  <r>
    <x v="705"/>
  </r>
  <r>
    <x v="705"/>
  </r>
  <r>
    <x v="705"/>
  </r>
  <r>
    <x v="565"/>
  </r>
  <r>
    <x v="565"/>
  </r>
  <r>
    <x v="565"/>
  </r>
  <r>
    <x v="597"/>
  </r>
  <r>
    <x v="364"/>
  </r>
  <r>
    <x v="364"/>
  </r>
  <r>
    <x v="96"/>
  </r>
  <r>
    <x v="96"/>
  </r>
  <r>
    <x v="96"/>
  </r>
  <r>
    <x v="597"/>
  </r>
  <r>
    <x v="597"/>
  </r>
  <r>
    <x v="597"/>
  </r>
  <r>
    <x v="428"/>
  </r>
  <r>
    <x v="629"/>
  </r>
  <r>
    <x v="335"/>
  </r>
  <r>
    <x v="335"/>
  </r>
  <r>
    <x v="252"/>
  </r>
  <r>
    <x v="252"/>
  </r>
  <r>
    <x v="259"/>
  </r>
  <r>
    <x v="486"/>
  </r>
  <r>
    <x v="706"/>
  </r>
  <r>
    <x v="597"/>
  </r>
  <r>
    <x v="597"/>
  </r>
  <r>
    <x v="94"/>
  </r>
  <r>
    <x v="94"/>
  </r>
  <r>
    <x v="94"/>
  </r>
  <r>
    <x v="94"/>
  </r>
  <r>
    <x v="94"/>
  </r>
  <r>
    <x v="122"/>
  </r>
  <r>
    <x v="122"/>
  </r>
  <r>
    <x v="122"/>
  </r>
  <r>
    <x v="122"/>
  </r>
  <r>
    <x v="555"/>
  </r>
  <r>
    <x v="555"/>
  </r>
  <r>
    <x v="662"/>
  </r>
  <r>
    <x v="410"/>
  </r>
  <r>
    <x v="410"/>
  </r>
  <r>
    <x v="410"/>
  </r>
  <r>
    <x v="410"/>
  </r>
  <r>
    <x v="426"/>
  </r>
  <r>
    <x v="45"/>
  </r>
  <r>
    <x v="126"/>
  </r>
  <r>
    <x v="187"/>
  </r>
  <r>
    <x v="73"/>
  </r>
  <r>
    <x v="73"/>
  </r>
  <r>
    <x v="105"/>
  </r>
  <r>
    <x v="105"/>
  </r>
  <r>
    <x v="105"/>
  </r>
  <r>
    <x v="105"/>
  </r>
  <r>
    <x v="707"/>
  </r>
  <r>
    <x v="707"/>
  </r>
  <r>
    <x v="707"/>
  </r>
  <r>
    <x v="707"/>
  </r>
  <r>
    <x v="707"/>
  </r>
  <r>
    <x v="707"/>
  </r>
  <r>
    <x v="707"/>
  </r>
  <r>
    <x v="707"/>
  </r>
  <r>
    <x v="707"/>
  </r>
  <r>
    <x v="139"/>
  </r>
  <r>
    <x v="139"/>
  </r>
  <r>
    <x v="87"/>
  </r>
  <r>
    <x v="329"/>
  </r>
  <r>
    <x v="329"/>
  </r>
  <r>
    <x v="329"/>
  </r>
  <r>
    <x v="329"/>
  </r>
  <r>
    <x v="329"/>
  </r>
  <r>
    <x v="41"/>
  </r>
  <r>
    <x v="493"/>
  </r>
  <r>
    <x v="645"/>
  </r>
  <r>
    <x v="467"/>
  </r>
  <r>
    <x v="117"/>
  </r>
  <r>
    <x v="708"/>
  </r>
  <r>
    <x v="308"/>
  </r>
  <r>
    <x v="235"/>
  </r>
  <r>
    <x v="235"/>
  </r>
  <r>
    <x v="235"/>
  </r>
  <r>
    <x v="235"/>
  </r>
  <r>
    <x v="341"/>
  </r>
  <r>
    <x v="323"/>
  </r>
  <r>
    <x v="323"/>
  </r>
  <r>
    <x v="709"/>
  </r>
  <r>
    <x v="619"/>
  </r>
  <r>
    <x v="619"/>
  </r>
  <r>
    <x v="619"/>
  </r>
  <r>
    <x v="10"/>
  </r>
  <r>
    <x v="470"/>
  </r>
  <r>
    <x v="169"/>
  </r>
  <r>
    <x v="329"/>
  </r>
  <r>
    <x v="241"/>
  </r>
  <r>
    <x v="534"/>
  </r>
  <r>
    <x v="176"/>
  </r>
  <r>
    <x v="318"/>
  </r>
  <r>
    <x v="710"/>
  </r>
  <r>
    <x v="710"/>
  </r>
  <r>
    <x v="711"/>
  </r>
  <r>
    <x v="711"/>
  </r>
  <r>
    <x v="119"/>
  </r>
  <r>
    <x v="411"/>
  </r>
  <r>
    <x v="411"/>
  </r>
  <r>
    <x v="119"/>
  </r>
  <r>
    <x v="149"/>
  </r>
  <r>
    <x v="85"/>
  </r>
  <r>
    <x v="85"/>
  </r>
  <r>
    <x v="712"/>
  </r>
  <r>
    <x v="579"/>
  </r>
  <r>
    <x v="579"/>
  </r>
  <r>
    <x v="579"/>
  </r>
  <r>
    <x v="579"/>
  </r>
  <r>
    <x v="579"/>
  </r>
  <r>
    <x v="579"/>
  </r>
  <r>
    <x v="276"/>
  </r>
  <r>
    <x v="713"/>
  </r>
  <r>
    <x v="713"/>
  </r>
  <r>
    <x v="42"/>
  </r>
  <r>
    <x v="42"/>
  </r>
  <r>
    <x v="42"/>
  </r>
  <r>
    <x v="42"/>
  </r>
  <r>
    <x v="482"/>
  </r>
  <r>
    <x v="482"/>
  </r>
  <r>
    <x v="257"/>
  </r>
  <r>
    <x v="661"/>
  </r>
  <r>
    <x v="663"/>
  </r>
  <r>
    <x v="663"/>
  </r>
  <r>
    <x v="663"/>
  </r>
  <r>
    <x v="663"/>
  </r>
  <r>
    <x v="663"/>
  </r>
  <r>
    <x v="122"/>
  </r>
  <r>
    <x v="435"/>
  </r>
  <r>
    <x v="435"/>
  </r>
  <r>
    <x v="435"/>
  </r>
  <r>
    <x v="435"/>
  </r>
  <r>
    <x v="435"/>
  </r>
  <r>
    <x v="270"/>
  </r>
  <r>
    <x v="270"/>
  </r>
  <r>
    <x v="270"/>
  </r>
  <r>
    <x v="270"/>
  </r>
  <r>
    <x v="87"/>
  </r>
  <r>
    <x v="693"/>
  </r>
  <r>
    <x v="423"/>
  </r>
  <r>
    <x v="423"/>
  </r>
  <r>
    <x v="423"/>
  </r>
  <r>
    <x v="423"/>
  </r>
  <r>
    <x v="222"/>
  </r>
  <r>
    <x v="222"/>
  </r>
  <r>
    <x v="265"/>
  </r>
  <r>
    <x v="265"/>
  </r>
  <r>
    <x v="265"/>
  </r>
  <r>
    <x v="265"/>
  </r>
  <r>
    <x v="618"/>
  </r>
  <r>
    <x v="408"/>
  </r>
  <r>
    <x v="545"/>
  </r>
  <r>
    <x v="571"/>
  </r>
  <r>
    <x v="675"/>
  </r>
  <r>
    <x v="675"/>
  </r>
  <r>
    <x v="675"/>
  </r>
  <r>
    <x v="675"/>
  </r>
  <r>
    <x v="675"/>
  </r>
  <r>
    <x v="66"/>
  </r>
  <r>
    <x v="597"/>
  </r>
  <r>
    <x v="597"/>
  </r>
  <r>
    <x v="515"/>
  </r>
  <r>
    <x v="123"/>
  </r>
  <r>
    <x v="123"/>
  </r>
  <r>
    <x v="123"/>
  </r>
  <r>
    <x v="123"/>
  </r>
  <r>
    <x v="123"/>
  </r>
  <r>
    <x v="123"/>
  </r>
  <r>
    <x v="407"/>
  </r>
  <r>
    <x v="407"/>
  </r>
  <r>
    <x v="407"/>
  </r>
  <r>
    <x v="632"/>
  </r>
  <r>
    <x v="641"/>
  </r>
  <r>
    <x v="641"/>
  </r>
  <r>
    <x v="641"/>
  </r>
  <r>
    <x v="519"/>
  </r>
  <r>
    <x v="318"/>
  </r>
  <r>
    <x v="318"/>
  </r>
  <r>
    <x v="318"/>
  </r>
  <r>
    <x v="318"/>
  </r>
  <r>
    <x v="276"/>
  </r>
  <r>
    <x v="277"/>
  </r>
  <r>
    <x v="277"/>
  </r>
  <r>
    <x v="277"/>
  </r>
  <r>
    <x v="158"/>
  </r>
  <r>
    <x v="299"/>
  </r>
  <r>
    <x v="299"/>
  </r>
  <r>
    <x v="667"/>
  </r>
  <r>
    <x v="667"/>
  </r>
  <r>
    <x v="487"/>
  </r>
  <r>
    <x v="348"/>
  </r>
  <r>
    <x v="348"/>
  </r>
  <r>
    <x v="348"/>
  </r>
  <r>
    <x v="225"/>
  </r>
  <r>
    <x v="225"/>
  </r>
  <r>
    <x v="225"/>
  </r>
  <r>
    <x v="225"/>
  </r>
  <r>
    <x v="225"/>
  </r>
  <r>
    <x v="3"/>
  </r>
  <r>
    <x v="3"/>
  </r>
  <r>
    <x v="473"/>
  </r>
  <r>
    <x v="127"/>
  </r>
  <r>
    <x v="127"/>
  </r>
  <r>
    <x v="127"/>
  </r>
  <r>
    <x v="333"/>
  </r>
  <r>
    <x v="333"/>
  </r>
  <r>
    <x v="78"/>
  </r>
  <r>
    <x v="78"/>
  </r>
  <r>
    <x v="78"/>
  </r>
  <r>
    <x v="223"/>
  </r>
  <r>
    <x v="223"/>
  </r>
  <r>
    <x v="223"/>
  </r>
  <r>
    <x v="347"/>
  </r>
  <r>
    <x v="379"/>
  </r>
  <r>
    <x v="675"/>
  </r>
  <r>
    <x v="109"/>
  </r>
  <r>
    <x v="109"/>
  </r>
  <r>
    <x v="109"/>
  </r>
  <r>
    <x v="109"/>
  </r>
  <r>
    <x v="109"/>
  </r>
  <r>
    <x v="252"/>
  </r>
  <r>
    <x v="252"/>
  </r>
  <r>
    <x v="91"/>
  </r>
  <r>
    <x v="91"/>
  </r>
  <r>
    <x v="91"/>
  </r>
  <r>
    <x v="130"/>
  </r>
  <r>
    <x v="714"/>
  </r>
  <r>
    <x v="267"/>
  </r>
  <r>
    <x v="267"/>
  </r>
  <r>
    <x v="267"/>
  </r>
  <r>
    <x v="267"/>
  </r>
  <r>
    <x v="267"/>
  </r>
  <r>
    <x v="267"/>
  </r>
  <r>
    <x v="267"/>
  </r>
  <r>
    <x v="266"/>
  </r>
  <r>
    <x v="266"/>
  </r>
  <r>
    <x v="266"/>
  </r>
  <r>
    <x v="529"/>
  </r>
  <r>
    <x v="166"/>
  </r>
  <r>
    <x v="375"/>
  </r>
  <r>
    <x v="375"/>
  </r>
  <r>
    <x v="291"/>
  </r>
  <r>
    <x v="291"/>
  </r>
  <r>
    <x v="291"/>
  </r>
  <r>
    <x v="659"/>
  </r>
  <r>
    <x v="275"/>
  </r>
  <r>
    <x v="164"/>
  </r>
  <r>
    <x v="164"/>
  </r>
  <r>
    <x v="715"/>
  </r>
  <r>
    <x v="716"/>
  </r>
  <r>
    <x v="716"/>
  </r>
  <r>
    <x v="716"/>
  </r>
  <r>
    <x v="295"/>
  </r>
  <r>
    <x v="295"/>
  </r>
  <r>
    <x v="271"/>
  </r>
  <r>
    <x v="567"/>
  </r>
  <r>
    <x v="567"/>
  </r>
  <r>
    <x v="567"/>
  </r>
  <r>
    <x v="567"/>
  </r>
  <r>
    <x v="1"/>
  </r>
  <r>
    <x v="147"/>
  </r>
  <r>
    <x v="147"/>
  </r>
  <r>
    <x v="147"/>
  </r>
  <r>
    <x v="10"/>
  </r>
  <r>
    <x v="10"/>
  </r>
  <r>
    <x v="439"/>
  </r>
  <r>
    <x v="264"/>
  </r>
  <r>
    <x v="264"/>
  </r>
  <r>
    <x v="262"/>
  </r>
  <r>
    <x v="262"/>
  </r>
  <r>
    <x v="27"/>
  </r>
  <r>
    <x v="27"/>
  </r>
  <r>
    <x v="27"/>
  </r>
  <r>
    <x v="268"/>
  </r>
  <r>
    <x v="268"/>
  </r>
  <r>
    <x v="268"/>
  </r>
  <r>
    <x v="268"/>
  </r>
  <r>
    <x v="673"/>
  </r>
  <r>
    <x v="673"/>
  </r>
  <r>
    <x v="673"/>
  </r>
  <r>
    <x v="228"/>
  </r>
  <r>
    <x v="228"/>
  </r>
  <r>
    <x v="653"/>
  </r>
  <r>
    <x v="653"/>
  </r>
  <r>
    <x v="653"/>
  </r>
  <r>
    <x v="653"/>
  </r>
  <r>
    <x v="209"/>
  </r>
  <r>
    <x v="187"/>
  </r>
  <r>
    <x v="187"/>
  </r>
  <r>
    <x v="576"/>
  </r>
  <r>
    <x v="690"/>
  </r>
  <r>
    <x v="539"/>
  </r>
  <r>
    <x v="64"/>
  </r>
  <r>
    <x v="387"/>
  </r>
  <r>
    <x v="387"/>
  </r>
  <r>
    <x v="534"/>
  </r>
  <r>
    <x v="534"/>
  </r>
  <r>
    <x v="534"/>
  </r>
  <r>
    <x v="248"/>
  </r>
  <r>
    <x v="198"/>
  </r>
  <r>
    <x v="198"/>
  </r>
  <r>
    <x v="668"/>
  </r>
  <r>
    <x v="668"/>
  </r>
  <r>
    <x v="668"/>
  </r>
  <r>
    <x v="372"/>
  </r>
  <r>
    <x v="372"/>
  </r>
  <r>
    <x v="517"/>
  </r>
  <r>
    <x v="517"/>
  </r>
  <r>
    <x v="517"/>
  </r>
  <r>
    <x v="517"/>
  </r>
  <r>
    <x v="517"/>
  </r>
  <r>
    <x v="111"/>
  </r>
  <r>
    <x v="111"/>
  </r>
  <r>
    <x v="111"/>
  </r>
  <r>
    <x v="111"/>
  </r>
  <r>
    <x v="0"/>
  </r>
  <r>
    <x v="0"/>
  </r>
  <r>
    <x v="18"/>
  </r>
  <r>
    <x v="18"/>
  </r>
  <r>
    <x v="18"/>
  </r>
  <r>
    <x v="18"/>
  </r>
  <r>
    <x v="394"/>
  </r>
  <r>
    <x v="133"/>
  </r>
  <r>
    <x v="133"/>
  </r>
  <r>
    <x v="133"/>
  </r>
  <r>
    <x v="133"/>
  </r>
  <r>
    <x v="572"/>
  </r>
  <r>
    <x v="400"/>
  </r>
  <r>
    <x v="445"/>
  </r>
  <r>
    <x v="445"/>
  </r>
  <r>
    <x v="101"/>
  </r>
  <r>
    <x v="586"/>
  </r>
  <r>
    <x v="514"/>
  </r>
  <r>
    <x v="514"/>
  </r>
  <r>
    <x v="617"/>
  </r>
  <r>
    <x v="188"/>
  </r>
  <r>
    <x v="188"/>
  </r>
  <r>
    <x v="469"/>
  </r>
  <r>
    <x v="338"/>
  </r>
  <r>
    <x v="338"/>
  </r>
  <r>
    <x v="338"/>
  </r>
  <r>
    <x v="338"/>
  </r>
  <r>
    <x v="338"/>
  </r>
  <r>
    <x v="338"/>
  </r>
  <r>
    <x v="338"/>
  </r>
  <r>
    <x v="696"/>
  </r>
  <r>
    <x v="696"/>
  </r>
  <r>
    <x v="696"/>
  </r>
  <r>
    <x v="696"/>
  </r>
  <r>
    <x v="164"/>
  </r>
  <r>
    <x v="717"/>
  </r>
  <r>
    <x v="231"/>
  </r>
  <r>
    <x v="231"/>
  </r>
  <r>
    <x v="438"/>
  </r>
  <r>
    <x v="415"/>
  </r>
  <r>
    <x v="63"/>
  </r>
  <r>
    <x v="632"/>
  </r>
  <r>
    <x v="632"/>
  </r>
  <r>
    <x v="472"/>
  </r>
  <r>
    <x v="472"/>
  </r>
  <r>
    <x v="472"/>
  </r>
  <r>
    <x v="472"/>
  </r>
  <r>
    <x v="478"/>
  </r>
  <r>
    <x v="478"/>
  </r>
  <r>
    <x v="630"/>
  </r>
  <r>
    <x v="630"/>
  </r>
  <r>
    <x v="1"/>
  </r>
  <r>
    <x v="89"/>
  </r>
  <r>
    <x v="494"/>
  </r>
  <r>
    <x v="494"/>
  </r>
  <r>
    <x v="494"/>
  </r>
  <r>
    <x v="35"/>
  </r>
  <r>
    <x v="152"/>
  </r>
  <r>
    <x v="152"/>
  </r>
  <r>
    <x v="195"/>
  </r>
  <r>
    <x v="219"/>
  </r>
  <r>
    <x v="219"/>
  </r>
  <r>
    <x v="522"/>
  </r>
  <r>
    <x v="522"/>
  </r>
  <r>
    <x v="518"/>
  </r>
  <r>
    <x v="336"/>
  </r>
  <r>
    <x v="336"/>
  </r>
  <r>
    <x v="336"/>
  </r>
  <r>
    <x v="391"/>
  </r>
  <r>
    <x v="685"/>
  </r>
  <r>
    <x v="165"/>
  </r>
  <r>
    <x v="435"/>
  </r>
  <r>
    <x v="435"/>
  </r>
  <r>
    <x v="581"/>
  </r>
  <r>
    <x v="581"/>
  </r>
  <r>
    <x v="581"/>
  </r>
  <r>
    <x v="581"/>
  </r>
  <r>
    <x v="581"/>
  </r>
  <r>
    <x v="607"/>
  </r>
  <r>
    <x v="338"/>
  </r>
  <r>
    <x v="338"/>
  </r>
  <r>
    <x v="338"/>
  </r>
  <r>
    <x v="78"/>
  </r>
  <r>
    <x v="78"/>
  </r>
  <r>
    <x v="114"/>
  </r>
  <r>
    <x v="314"/>
  </r>
  <r>
    <x v="314"/>
  </r>
  <r>
    <x v="544"/>
  </r>
  <r>
    <x v="517"/>
  </r>
  <r>
    <x v="419"/>
  </r>
  <r>
    <x v="419"/>
  </r>
  <r>
    <x v="419"/>
  </r>
  <r>
    <x v="419"/>
  </r>
  <r>
    <x v="187"/>
  </r>
  <r>
    <x v="718"/>
  </r>
  <r>
    <x v="703"/>
  </r>
  <r>
    <x v="703"/>
  </r>
  <r>
    <x v="703"/>
  </r>
  <r>
    <x v="703"/>
  </r>
  <r>
    <x v="389"/>
  </r>
  <r>
    <x v="389"/>
  </r>
  <r>
    <x v="389"/>
  </r>
  <r>
    <x v="279"/>
  </r>
  <r>
    <x v="644"/>
  </r>
  <r>
    <x v="644"/>
  </r>
  <r>
    <x v="312"/>
  </r>
  <r>
    <x v="312"/>
  </r>
  <r>
    <x v="312"/>
  </r>
  <r>
    <x v="501"/>
  </r>
  <r>
    <x v="501"/>
  </r>
  <r>
    <x v="719"/>
  </r>
  <r>
    <x v="308"/>
  </r>
  <r>
    <x v="308"/>
  </r>
  <r>
    <x v="720"/>
  </r>
  <r>
    <x v="394"/>
  </r>
  <r>
    <x v="449"/>
  </r>
  <r>
    <x v="449"/>
  </r>
  <r>
    <x v="449"/>
  </r>
  <r>
    <x v="169"/>
  </r>
  <r>
    <x v="169"/>
  </r>
  <r>
    <x v="390"/>
  </r>
  <r>
    <x v="560"/>
  </r>
  <r>
    <x v="201"/>
  </r>
  <r>
    <x v="201"/>
  </r>
  <r>
    <x v="682"/>
  </r>
  <r>
    <x v="258"/>
  </r>
  <r>
    <x v="258"/>
  </r>
  <r>
    <x v="258"/>
  </r>
  <r>
    <x v="258"/>
  </r>
  <r>
    <x v="258"/>
  </r>
  <r>
    <x v="380"/>
  </r>
  <r>
    <x v="380"/>
  </r>
  <r>
    <x v="380"/>
  </r>
  <r>
    <x v="307"/>
  </r>
  <r>
    <x v="25"/>
  </r>
  <r>
    <x v="25"/>
  </r>
  <r>
    <x v="25"/>
  </r>
  <r>
    <x v="25"/>
  </r>
  <r>
    <x v="70"/>
  </r>
  <r>
    <x v="325"/>
  </r>
  <r>
    <x v="325"/>
  </r>
  <r>
    <x v="325"/>
  </r>
  <r>
    <x v="721"/>
  </r>
  <r>
    <x v="644"/>
  </r>
  <r>
    <x v="109"/>
  </r>
  <r>
    <x v="639"/>
  </r>
  <r>
    <x v="536"/>
  </r>
  <r>
    <x v="536"/>
  </r>
  <r>
    <x v="467"/>
  </r>
  <r>
    <x v="467"/>
  </r>
  <r>
    <x v="7"/>
  </r>
  <r>
    <x v="545"/>
  </r>
  <r>
    <x v="545"/>
  </r>
  <r>
    <x v="545"/>
  </r>
  <r>
    <x v="94"/>
  </r>
  <r>
    <x v="722"/>
  </r>
  <r>
    <x v="722"/>
  </r>
  <r>
    <x v="701"/>
  </r>
  <r>
    <x v="598"/>
  </r>
  <r>
    <x v="598"/>
  </r>
  <r>
    <x v="418"/>
  </r>
  <r>
    <x v="590"/>
  </r>
  <r>
    <x v="435"/>
  </r>
  <r>
    <x v="435"/>
  </r>
  <r>
    <x v="435"/>
  </r>
  <r>
    <x v="435"/>
  </r>
  <r>
    <x v="580"/>
  </r>
  <r>
    <x v="580"/>
  </r>
  <r>
    <x v="580"/>
  </r>
  <r>
    <x v="338"/>
  </r>
  <r>
    <x v="338"/>
  </r>
  <r>
    <x v="338"/>
  </r>
  <r>
    <x v="338"/>
  </r>
  <r>
    <x v="666"/>
  </r>
  <r>
    <x v="666"/>
  </r>
  <r>
    <x v="666"/>
  </r>
  <r>
    <x v="666"/>
  </r>
  <r>
    <x v="666"/>
  </r>
  <r>
    <x v="658"/>
  </r>
  <r>
    <x v="621"/>
  </r>
  <r>
    <x v="711"/>
  </r>
  <r>
    <x v="371"/>
  </r>
  <r>
    <x v="661"/>
  </r>
  <r>
    <x v="723"/>
  </r>
  <r>
    <x v="723"/>
  </r>
  <r>
    <x v="258"/>
  </r>
  <r>
    <x v="576"/>
  </r>
  <r>
    <x v="576"/>
  </r>
  <r>
    <x v="576"/>
  </r>
  <r>
    <x v="576"/>
  </r>
  <r>
    <x v="576"/>
  </r>
  <r>
    <x v="576"/>
  </r>
  <r>
    <x v="576"/>
  </r>
  <r>
    <x v="576"/>
  </r>
  <r>
    <x v="576"/>
  </r>
  <r>
    <x v="164"/>
  </r>
  <r>
    <x v="412"/>
  </r>
  <r>
    <x v="273"/>
  </r>
  <r>
    <x v="273"/>
  </r>
  <r>
    <x v="273"/>
  </r>
  <r>
    <x v="235"/>
  </r>
  <r>
    <x v="380"/>
  </r>
  <r>
    <x v="380"/>
  </r>
  <r>
    <x v="699"/>
  </r>
  <r>
    <x v="557"/>
  </r>
  <r>
    <x v="21"/>
  </r>
  <r>
    <x v="21"/>
  </r>
  <r>
    <x v="21"/>
  </r>
  <r>
    <x v="276"/>
  </r>
  <r>
    <x v="276"/>
  </r>
  <r>
    <x v="104"/>
  </r>
  <r>
    <x v="104"/>
  </r>
  <r>
    <x v="502"/>
  </r>
  <r>
    <x v="502"/>
  </r>
  <r>
    <x v="468"/>
  </r>
  <r>
    <x v="468"/>
  </r>
  <r>
    <x v="550"/>
  </r>
  <r>
    <x v="122"/>
  </r>
  <r>
    <x v="122"/>
  </r>
  <r>
    <x v="122"/>
  </r>
  <r>
    <x v="122"/>
  </r>
  <r>
    <x v="222"/>
  </r>
  <r>
    <x v="222"/>
  </r>
  <r>
    <x v="22"/>
  </r>
  <r>
    <x v="724"/>
  </r>
  <r>
    <x v="247"/>
  </r>
  <r>
    <x v="435"/>
  </r>
  <r>
    <x v="435"/>
  </r>
  <r>
    <x v="367"/>
  </r>
  <r>
    <x v="281"/>
  </r>
  <r>
    <x v="63"/>
  </r>
  <r>
    <x v="504"/>
  </r>
  <r>
    <x v="504"/>
  </r>
  <r>
    <x v="504"/>
  </r>
  <r>
    <x v="504"/>
  </r>
  <r>
    <x v="412"/>
  </r>
  <r>
    <x v="343"/>
  </r>
  <r>
    <x v="343"/>
  </r>
  <r>
    <x v="343"/>
  </r>
  <r>
    <x v="40"/>
  </r>
  <r>
    <x v="40"/>
  </r>
  <r>
    <x v="40"/>
  </r>
  <r>
    <x v="40"/>
  </r>
  <r>
    <x v="390"/>
  </r>
  <r>
    <x v="707"/>
  </r>
  <r>
    <x v="154"/>
  </r>
  <r>
    <x v="154"/>
  </r>
  <r>
    <x v="154"/>
  </r>
  <r>
    <x v="154"/>
  </r>
  <r>
    <x v="154"/>
  </r>
  <r>
    <x v="260"/>
  </r>
  <r>
    <x v="260"/>
  </r>
  <r>
    <x v="260"/>
  </r>
  <r>
    <x v="194"/>
  </r>
  <r>
    <x v="194"/>
  </r>
  <r>
    <x v="194"/>
  </r>
  <r>
    <x v="194"/>
  </r>
  <r>
    <x v="272"/>
  </r>
  <r>
    <x v="363"/>
  </r>
  <r>
    <x v="521"/>
  </r>
  <r>
    <x v="357"/>
  </r>
  <r>
    <x v="357"/>
  </r>
  <r>
    <x v="357"/>
  </r>
  <r>
    <x v="412"/>
  </r>
  <r>
    <x v="229"/>
  </r>
  <r>
    <x v="229"/>
  </r>
  <r>
    <x v="144"/>
  </r>
  <r>
    <x v="144"/>
  </r>
  <r>
    <x v="144"/>
  </r>
  <r>
    <x v="436"/>
  </r>
  <r>
    <x v="436"/>
  </r>
  <r>
    <x v="436"/>
  </r>
  <r>
    <x v="378"/>
  </r>
  <r>
    <x v="725"/>
  </r>
  <r>
    <x v="725"/>
  </r>
  <r>
    <x v="725"/>
  </r>
  <r>
    <x v="89"/>
  </r>
  <r>
    <x v="316"/>
  </r>
  <r>
    <x v="330"/>
  </r>
  <r>
    <x v="223"/>
  </r>
  <r>
    <x v="375"/>
  </r>
  <r>
    <x v="375"/>
  </r>
  <r>
    <x v="375"/>
  </r>
  <r>
    <x v="333"/>
  </r>
  <r>
    <x v="333"/>
  </r>
  <r>
    <x v="726"/>
  </r>
  <r>
    <x v="170"/>
  </r>
  <r>
    <x v="522"/>
  </r>
  <r>
    <x v="341"/>
  </r>
  <r>
    <x v="143"/>
  </r>
  <r>
    <x v="143"/>
  </r>
  <r>
    <x v="727"/>
  </r>
  <r>
    <x v="462"/>
  </r>
  <r>
    <x v="310"/>
  </r>
  <r>
    <x v="310"/>
  </r>
  <r>
    <x v="512"/>
  </r>
  <r>
    <x v="381"/>
  </r>
  <r>
    <x v="381"/>
  </r>
  <r>
    <x v="381"/>
  </r>
  <r>
    <x v="381"/>
  </r>
  <r>
    <x v="165"/>
  </r>
  <r>
    <x v="535"/>
  </r>
  <r>
    <x v="535"/>
  </r>
  <r>
    <x v="32"/>
  </r>
  <r>
    <x v="557"/>
  </r>
  <r>
    <x v="557"/>
  </r>
  <r>
    <x v="557"/>
  </r>
  <r>
    <x v="557"/>
  </r>
  <r>
    <x v="557"/>
  </r>
  <r>
    <x v="557"/>
  </r>
  <r>
    <x v="639"/>
  </r>
  <r>
    <x v="639"/>
  </r>
  <r>
    <x v="639"/>
  </r>
  <r>
    <x v="728"/>
  </r>
  <r>
    <x v="728"/>
  </r>
  <r>
    <x v="389"/>
  </r>
  <r>
    <x v="389"/>
  </r>
  <r>
    <x v="389"/>
  </r>
  <r>
    <x v="535"/>
  </r>
  <r>
    <x v="388"/>
  </r>
  <r>
    <x v="388"/>
  </r>
  <r>
    <x v="312"/>
  </r>
  <r>
    <x v="312"/>
  </r>
  <r>
    <x v="514"/>
  </r>
  <r>
    <x v="337"/>
  </r>
  <r>
    <x v="337"/>
  </r>
  <r>
    <x v="729"/>
  </r>
  <r>
    <x v="729"/>
  </r>
  <r>
    <x v="729"/>
  </r>
  <r>
    <x v="729"/>
  </r>
  <r>
    <x v="412"/>
  </r>
  <r>
    <x v="565"/>
  </r>
  <r>
    <x v="565"/>
  </r>
  <r>
    <x v="565"/>
  </r>
  <r>
    <x v="352"/>
  </r>
  <r>
    <x v="352"/>
  </r>
  <r>
    <x v="232"/>
  </r>
  <r>
    <x v="232"/>
  </r>
  <r>
    <x v="88"/>
  </r>
  <r>
    <x v="12"/>
  </r>
  <r>
    <x v="260"/>
  </r>
  <r>
    <x v="680"/>
  </r>
  <r>
    <x v="447"/>
  </r>
  <r>
    <x v="188"/>
  </r>
  <r>
    <x v="188"/>
  </r>
  <r>
    <x v="188"/>
  </r>
  <r>
    <x v="188"/>
  </r>
  <r>
    <x v="496"/>
  </r>
  <r>
    <x v="730"/>
  </r>
  <r>
    <x v="730"/>
  </r>
  <r>
    <x v="316"/>
  </r>
  <r>
    <x v="316"/>
  </r>
  <r>
    <x v="108"/>
  </r>
  <r>
    <x v="148"/>
  </r>
  <r>
    <x v="238"/>
  </r>
  <r>
    <x v="238"/>
  </r>
  <r>
    <x v="639"/>
  </r>
  <r>
    <x v="639"/>
  </r>
  <r>
    <x v="569"/>
  </r>
  <r>
    <x v="569"/>
  </r>
  <r>
    <x v="569"/>
  </r>
  <r>
    <x v="569"/>
  </r>
  <r>
    <x v="569"/>
  </r>
  <r>
    <x v="160"/>
  </r>
  <r>
    <x v="160"/>
  </r>
  <r>
    <x v="699"/>
  </r>
  <r>
    <x v="681"/>
  </r>
  <r>
    <x v="503"/>
  </r>
  <r>
    <x v="68"/>
  </r>
  <r>
    <x v="68"/>
  </r>
  <r>
    <x v="68"/>
  </r>
  <r>
    <x v="68"/>
  </r>
  <r>
    <x v="68"/>
  </r>
  <r>
    <x v="117"/>
  </r>
  <r>
    <x v="335"/>
  </r>
  <r>
    <x v="335"/>
  </r>
  <r>
    <x v="385"/>
  </r>
  <r>
    <x v="385"/>
  </r>
  <r>
    <x v="385"/>
  </r>
  <r>
    <x v="385"/>
  </r>
  <r>
    <x v="497"/>
  </r>
  <r>
    <x v="497"/>
  </r>
  <r>
    <x v="497"/>
  </r>
  <r>
    <x v="123"/>
  </r>
  <r>
    <x v="688"/>
  </r>
  <r>
    <x v="688"/>
  </r>
  <r>
    <x v="336"/>
  </r>
  <r>
    <x v="305"/>
  </r>
  <r>
    <x v="305"/>
  </r>
  <r>
    <x v="305"/>
  </r>
  <r>
    <x v="731"/>
  </r>
  <r>
    <x v="731"/>
  </r>
  <r>
    <x v="732"/>
  </r>
  <r>
    <x v="624"/>
  </r>
  <r>
    <x v="624"/>
  </r>
  <r>
    <x v="202"/>
  </r>
  <r>
    <x v="202"/>
  </r>
  <r>
    <x v="202"/>
  </r>
  <r>
    <x v="233"/>
  </r>
  <r>
    <x v="685"/>
  </r>
  <r>
    <x v="685"/>
  </r>
  <r>
    <x v="4"/>
  </r>
  <r>
    <x v="4"/>
  </r>
  <r>
    <x v="6"/>
  </r>
  <r>
    <x v="6"/>
  </r>
  <r>
    <x v="6"/>
  </r>
  <r>
    <x v="174"/>
  </r>
  <r>
    <x v="174"/>
  </r>
  <r>
    <x v="591"/>
  </r>
  <r>
    <x v="127"/>
  </r>
  <r>
    <x v="127"/>
  </r>
  <r>
    <x v="733"/>
  </r>
  <r>
    <x v="354"/>
  </r>
  <r>
    <x v="354"/>
  </r>
  <r>
    <x v="354"/>
  </r>
  <r>
    <x v="114"/>
  </r>
  <r>
    <x v="643"/>
  </r>
  <r>
    <x v="643"/>
  </r>
  <r>
    <x v="222"/>
  </r>
  <r>
    <x v="222"/>
  </r>
  <r>
    <x v="222"/>
  </r>
  <r>
    <x v="554"/>
  </r>
  <r>
    <x v="494"/>
  </r>
  <r>
    <x v="494"/>
  </r>
  <r>
    <x v="494"/>
  </r>
  <r>
    <x v="734"/>
  </r>
  <r>
    <x v="281"/>
  </r>
  <r>
    <x v="281"/>
  </r>
  <r>
    <x v="684"/>
  </r>
  <r>
    <x v="684"/>
  </r>
  <r>
    <x v="684"/>
  </r>
  <r>
    <x v="729"/>
  </r>
  <r>
    <x v="210"/>
  </r>
  <r>
    <x v="210"/>
  </r>
  <r>
    <x v="194"/>
  </r>
  <r>
    <x v="695"/>
  </r>
  <r>
    <x v="695"/>
  </r>
  <r>
    <x v="695"/>
  </r>
  <r>
    <x v="202"/>
  </r>
  <r>
    <x v="387"/>
  </r>
  <r>
    <x v="558"/>
  </r>
  <r>
    <x v="558"/>
  </r>
  <r>
    <x v="214"/>
  </r>
  <r>
    <x v="214"/>
  </r>
  <r>
    <x v="263"/>
  </r>
  <r>
    <x v="710"/>
  </r>
  <r>
    <x v="595"/>
  </r>
  <r>
    <x v="595"/>
  </r>
  <r>
    <x v="595"/>
  </r>
  <r>
    <x v="418"/>
  </r>
  <r>
    <x v="735"/>
  </r>
  <r>
    <x v="735"/>
  </r>
  <r>
    <x v="104"/>
  </r>
  <r>
    <x v="104"/>
  </r>
  <r>
    <x v="104"/>
  </r>
  <r>
    <x v="104"/>
  </r>
  <r>
    <x v="418"/>
  </r>
  <r>
    <x v="467"/>
  </r>
  <r>
    <x v="236"/>
  </r>
  <r>
    <x v="236"/>
  </r>
  <r>
    <x v="236"/>
  </r>
  <r>
    <x v="560"/>
  </r>
  <r>
    <x v="560"/>
  </r>
  <r>
    <x v="736"/>
  </r>
  <r>
    <x v="447"/>
  </r>
  <r>
    <x v="447"/>
  </r>
  <r>
    <x v="447"/>
  </r>
  <r>
    <x v="90"/>
  </r>
  <r>
    <x v="90"/>
  </r>
  <r>
    <x v="69"/>
  </r>
  <r>
    <x v="527"/>
  </r>
  <r>
    <x v="151"/>
  </r>
  <r>
    <x v="151"/>
  </r>
  <r>
    <x v="38"/>
  </r>
  <r>
    <x v="436"/>
  </r>
  <r>
    <x v="579"/>
  </r>
  <r>
    <x v="145"/>
  </r>
  <r>
    <x v="145"/>
  </r>
  <r>
    <x v="145"/>
  </r>
  <r>
    <x v="270"/>
  </r>
  <r>
    <x v="31"/>
  </r>
  <r>
    <x v="463"/>
  </r>
  <r>
    <x v="389"/>
  </r>
  <r>
    <x v="403"/>
  </r>
  <r>
    <x v="367"/>
  </r>
  <r>
    <x v="367"/>
  </r>
  <r>
    <x v="367"/>
  </r>
  <r>
    <x v="367"/>
  </r>
  <r>
    <x v="367"/>
  </r>
  <r>
    <x v="367"/>
  </r>
  <r>
    <x v="367"/>
  </r>
  <r>
    <x v="367"/>
  </r>
  <r>
    <x v="367"/>
  </r>
  <r>
    <x v="367"/>
  </r>
  <r>
    <x v="367"/>
  </r>
  <r>
    <x v="86"/>
  </r>
  <r>
    <x v="86"/>
  </r>
  <r>
    <x v="86"/>
  </r>
  <r>
    <x v="86"/>
  </r>
  <r>
    <x v="119"/>
  </r>
  <r>
    <x v="103"/>
  </r>
  <r>
    <x v="103"/>
  </r>
  <r>
    <x v="737"/>
  </r>
  <r>
    <x v="732"/>
  </r>
  <r>
    <x v="662"/>
  </r>
  <r>
    <x v="36"/>
  </r>
  <r>
    <x v="691"/>
  </r>
  <r>
    <x v="691"/>
  </r>
  <r>
    <x v="532"/>
  </r>
  <r>
    <x v="143"/>
  </r>
  <r>
    <x v="143"/>
  </r>
  <r>
    <x v="476"/>
  </r>
  <r>
    <x v="610"/>
  </r>
  <r>
    <x v="610"/>
  </r>
  <r>
    <x v="610"/>
  </r>
  <r>
    <x v="610"/>
  </r>
  <r>
    <x v="667"/>
  </r>
  <r>
    <x v="190"/>
  </r>
  <r>
    <x v="190"/>
  </r>
  <r>
    <x v="400"/>
  </r>
  <r>
    <x v="400"/>
  </r>
  <r>
    <x v="400"/>
  </r>
  <r>
    <x v="400"/>
  </r>
  <r>
    <x v="628"/>
  </r>
  <r>
    <x v="60"/>
  </r>
  <r>
    <x v="60"/>
  </r>
  <r>
    <x v="453"/>
  </r>
  <r>
    <x v="453"/>
  </r>
  <r>
    <x v="217"/>
  </r>
  <r>
    <x v="217"/>
  </r>
  <r>
    <x v="38"/>
  </r>
  <r>
    <x v="38"/>
  </r>
  <r>
    <x v="217"/>
  </r>
  <r>
    <x v="545"/>
  </r>
  <r>
    <x v="543"/>
  </r>
  <r>
    <x v="543"/>
  </r>
  <r>
    <x v="543"/>
  </r>
  <r>
    <x v="543"/>
  </r>
  <r>
    <x v="625"/>
  </r>
  <r>
    <x v="625"/>
  </r>
  <r>
    <x v="625"/>
  </r>
  <r>
    <x v="607"/>
  </r>
  <r>
    <x v="607"/>
  </r>
  <r>
    <x v="607"/>
  </r>
  <r>
    <x v="400"/>
  </r>
  <r>
    <x v="298"/>
  </r>
  <r>
    <x v="501"/>
  </r>
  <r>
    <x v="501"/>
  </r>
  <r>
    <x v="501"/>
  </r>
  <r>
    <x v="296"/>
  </r>
  <r>
    <x v="664"/>
  </r>
  <r>
    <x v="275"/>
  </r>
  <r>
    <x v="34"/>
  </r>
  <r>
    <x v="738"/>
  </r>
  <r>
    <x v="390"/>
  </r>
  <r>
    <x v="502"/>
  </r>
  <r>
    <x v="502"/>
  </r>
  <r>
    <x v="502"/>
  </r>
  <r>
    <x v="502"/>
  </r>
  <r>
    <x v="402"/>
  </r>
  <r>
    <x v="248"/>
  </r>
  <r>
    <x v="248"/>
  </r>
  <r>
    <x v="248"/>
  </r>
  <r>
    <x v="739"/>
  </r>
  <r>
    <x v="739"/>
  </r>
  <r>
    <x v="583"/>
  </r>
  <r>
    <x v="393"/>
  </r>
  <r>
    <x v="393"/>
  </r>
  <r>
    <x v="393"/>
  </r>
  <r>
    <x v="161"/>
  </r>
  <r>
    <x v="161"/>
  </r>
  <r>
    <x v="116"/>
  </r>
  <r>
    <x v="116"/>
  </r>
  <r>
    <x v="116"/>
  </r>
  <r>
    <x v="116"/>
  </r>
  <r>
    <x v="588"/>
  </r>
  <r>
    <x v="211"/>
  </r>
  <r>
    <x v="247"/>
  </r>
  <r>
    <x v="654"/>
  </r>
  <r>
    <x v="274"/>
  </r>
  <r>
    <x v="274"/>
  </r>
  <r>
    <x v="640"/>
  </r>
  <r>
    <x v="640"/>
  </r>
  <r>
    <x v="640"/>
  </r>
  <r>
    <x v="641"/>
  </r>
  <r>
    <x v="641"/>
  </r>
  <r>
    <x v="641"/>
  </r>
  <r>
    <x v="641"/>
  </r>
  <r>
    <x v="290"/>
  </r>
  <r>
    <x v="456"/>
  </r>
  <r>
    <x v="456"/>
  </r>
  <r>
    <x v="190"/>
  </r>
  <r>
    <x v="280"/>
  </r>
  <r>
    <x v="280"/>
  </r>
  <r>
    <x v="656"/>
  </r>
  <r>
    <x v="656"/>
  </r>
  <r>
    <x v="656"/>
  </r>
  <r>
    <x v="694"/>
  </r>
  <r>
    <x v="694"/>
  </r>
  <r>
    <x v="694"/>
  </r>
  <r>
    <x v="153"/>
  </r>
  <r>
    <x v="153"/>
  </r>
  <r>
    <x v="81"/>
  </r>
  <r>
    <x v="255"/>
  </r>
  <r>
    <x v="255"/>
  </r>
  <r>
    <x v="255"/>
  </r>
  <r>
    <x v="255"/>
  </r>
  <r>
    <x v="740"/>
  </r>
  <r>
    <x v="741"/>
  </r>
  <r>
    <x v="432"/>
  </r>
  <r>
    <x v="432"/>
  </r>
  <r>
    <x v="511"/>
  </r>
  <r>
    <x v="511"/>
  </r>
  <r>
    <x v="223"/>
  </r>
  <r>
    <x v="402"/>
  </r>
  <r>
    <x v="402"/>
  </r>
  <r>
    <x v="2"/>
  </r>
  <r>
    <x v="425"/>
  </r>
  <r>
    <x v="425"/>
  </r>
  <r>
    <x v="730"/>
  </r>
  <r>
    <x v="411"/>
  </r>
  <r>
    <x v="584"/>
  </r>
  <r>
    <x v="78"/>
  </r>
  <r>
    <x v="78"/>
  </r>
  <r>
    <x v="78"/>
  </r>
  <r>
    <x v="78"/>
  </r>
  <r>
    <x v="308"/>
  </r>
  <r>
    <x v="581"/>
  </r>
  <r>
    <x v="581"/>
  </r>
  <r>
    <x v="235"/>
  </r>
  <r>
    <x v="235"/>
  </r>
  <r>
    <x v="235"/>
  </r>
  <r>
    <x v="692"/>
  </r>
  <r>
    <x v="692"/>
  </r>
  <r>
    <x v="692"/>
  </r>
  <r>
    <x v="150"/>
  </r>
  <r>
    <x v="150"/>
  </r>
  <r>
    <x v="660"/>
  </r>
  <r>
    <x v="660"/>
  </r>
  <r>
    <x v="660"/>
  </r>
  <r>
    <x v="660"/>
  </r>
  <r>
    <x v="660"/>
  </r>
  <r>
    <x v="660"/>
  </r>
  <r>
    <x v="660"/>
  </r>
  <r>
    <x v="660"/>
  </r>
  <r>
    <x v="660"/>
  </r>
  <r>
    <x v="524"/>
  </r>
  <r>
    <x v="742"/>
  </r>
  <r>
    <x v="143"/>
  </r>
  <r>
    <x v="143"/>
  </r>
  <r>
    <x v="143"/>
  </r>
  <r>
    <x v="22"/>
  </r>
  <r>
    <x v="153"/>
  </r>
  <r>
    <x v="457"/>
  </r>
  <r>
    <x v="485"/>
  </r>
  <r>
    <x v="452"/>
  </r>
  <r>
    <x v="452"/>
  </r>
  <r>
    <x v="694"/>
  </r>
  <r>
    <x v="694"/>
  </r>
  <r>
    <x v="168"/>
  </r>
  <r>
    <x v="168"/>
  </r>
  <r>
    <x v="349"/>
  </r>
  <r>
    <x v="98"/>
  </r>
  <r>
    <x v="98"/>
  </r>
  <r>
    <x v="333"/>
  </r>
  <r>
    <x v="333"/>
  </r>
  <r>
    <x v="333"/>
  </r>
  <r>
    <x v="461"/>
  </r>
  <r>
    <x v="644"/>
  </r>
  <r>
    <x v="56"/>
  </r>
  <r>
    <x v="239"/>
  </r>
  <r>
    <x v="743"/>
  </r>
  <r>
    <x v="743"/>
  </r>
  <r>
    <x v="369"/>
  </r>
  <r>
    <x v="456"/>
  </r>
  <r>
    <x v="456"/>
  </r>
  <r>
    <x v="456"/>
  </r>
  <r>
    <x v="456"/>
  </r>
  <r>
    <x v="510"/>
  </r>
  <r>
    <x v="629"/>
  </r>
  <r>
    <x v="160"/>
  </r>
  <r>
    <x v="388"/>
  </r>
  <r>
    <x v="388"/>
  </r>
  <r>
    <x v="388"/>
  </r>
  <r>
    <x v="441"/>
  </r>
  <r>
    <x v="441"/>
  </r>
  <r>
    <x v="357"/>
  </r>
  <r>
    <x v="387"/>
  </r>
  <r>
    <x v="696"/>
  </r>
  <r>
    <x v="422"/>
  </r>
  <r>
    <x v="284"/>
  </r>
  <r>
    <x v="284"/>
  </r>
  <r>
    <x v="263"/>
  </r>
  <r>
    <x v="105"/>
  </r>
  <r>
    <x v="457"/>
  </r>
  <r>
    <x v="622"/>
  </r>
  <r>
    <x v="622"/>
  </r>
  <r>
    <x v="20"/>
  </r>
  <r>
    <x v="20"/>
  </r>
  <r>
    <x v="171"/>
  </r>
  <r>
    <x v="171"/>
  </r>
  <r>
    <x v="171"/>
  </r>
  <r>
    <x v="322"/>
  </r>
  <r>
    <x v="393"/>
  </r>
  <r>
    <x v="393"/>
  </r>
  <r>
    <x v="5"/>
  </r>
  <r>
    <x v="5"/>
  </r>
  <r>
    <x v="5"/>
  </r>
  <r>
    <x v="744"/>
  </r>
  <r>
    <x v="744"/>
  </r>
  <r>
    <x v="744"/>
  </r>
  <r>
    <x v="744"/>
  </r>
  <r>
    <x v="47"/>
  </r>
  <r>
    <x v="47"/>
  </r>
  <r>
    <x v="552"/>
  </r>
  <r>
    <x v="246"/>
  </r>
  <r>
    <x v="246"/>
  </r>
  <r>
    <x v="15"/>
  </r>
  <r>
    <x v="745"/>
  </r>
  <r>
    <x v="745"/>
  </r>
  <r>
    <x v="745"/>
  </r>
  <r>
    <x v="745"/>
  </r>
  <r>
    <x v="745"/>
  </r>
  <r>
    <x v="745"/>
  </r>
  <r>
    <x v="323"/>
  </r>
  <r>
    <x v="323"/>
  </r>
  <r>
    <x v="738"/>
  </r>
  <r>
    <x v="559"/>
  </r>
  <r>
    <x v="559"/>
  </r>
  <r>
    <x v="559"/>
  </r>
  <r>
    <x v="558"/>
  </r>
  <r>
    <x v="558"/>
  </r>
  <r>
    <x v="558"/>
  </r>
  <r>
    <x v="474"/>
  </r>
  <r>
    <x v="168"/>
  </r>
  <r>
    <x v="561"/>
  </r>
  <r>
    <x v="246"/>
  </r>
  <r>
    <x v="368"/>
  </r>
  <r>
    <x v="368"/>
  </r>
  <r>
    <x v="50"/>
  </r>
  <r>
    <x v="5"/>
  </r>
  <r>
    <x v="5"/>
  </r>
  <r>
    <x v="216"/>
  </r>
  <r>
    <x v="288"/>
  </r>
  <r>
    <x v="288"/>
  </r>
  <r>
    <x v="288"/>
  </r>
  <r>
    <x v="146"/>
  </r>
  <r>
    <x v="645"/>
  </r>
  <r>
    <x v="645"/>
  </r>
  <r>
    <x v="139"/>
  </r>
  <r>
    <x v="515"/>
  </r>
  <r>
    <x v="112"/>
  </r>
  <r>
    <x v="582"/>
  </r>
  <r>
    <x v="442"/>
  </r>
  <r>
    <x v="83"/>
  </r>
  <r>
    <x v="83"/>
  </r>
  <r>
    <x v="506"/>
  </r>
  <r>
    <x v="506"/>
  </r>
  <r>
    <x v="506"/>
  </r>
  <r>
    <x v="506"/>
  </r>
  <r>
    <x v="391"/>
  </r>
  <r>
    <x v="391"/>
  </r>
  <r>
    <x v="391"/>
  </r>
  <r>
    <x v="456"/>
  </r>
  <r>
    <x v="456"/>
  </r>
  <r>
    <x v="456"/>
  </r>
  <r>
    <x v="469"/>
  </r>
  <r>
    <x v="469"/>
  </r>
  <r>
    <x v="584"/>
  </r>
  <r>
    <x v="190"/>
  </r>
  <r>
    <x v="195"/>
  </r>
  <r>
    <x v="79"/>
  </r>
  <r>
    <x v="79"/>
  </r>
  <r>
    <x v="79"/>
  </r>
  <r>
    <x v="615"/>
  </r>
  <r>
    <x v="746"/>
  </r>
  <r>
    <x v="746"/>
  </r>
  <r>
    <x v="221"/>
  </r>
  <r>
    <x v="691"/>
  </r>
  <r>
    <x v="76"/>
  </r>
  <r>
    <x v="76"/>
  </r>
  <r>
    <x v="542"/>
  </r>
  <r>
    <x v="542"/>
  </r>
  <r>
    <x v="542"/>
  </r>
  <r>
    <x v="542"/>
  </r>
  <r>
    <x v="87"/>
  </r>
  <r>
    <x v="12"/>
  </r>
  <r>
    <x v="12"/>
  </r>
  <r>
    <x v="12"/>
  </r>
  <r>
    <x v="443"/>
  </r>
  <r>
    <x v="443"/>
  </r>
  <r>
    <x v="80"/>
  </r>
  <r>
    <x v="80"/>
  </r>
  <r>
    <x v="80"/>
  </r>
  <r>
    <x v="559"/>
  </r>
  <r>
    <x v="559"/>
  </r>
  <r>
    <x v="559"/>
  </r>
  <r>
    <x v="530"/>
  </r>
  <r>
    <x v="300"/>
  </r>
  <r>
    <x v="388"/>
  </r>
  <r>
    <x v="388"/>
  </r>
  <r>
    <x v="23"/>
  </r>
  <r>
    <x v="747"/>
  </r>
  <r>
    <x v="237"/>
  </r>
  <r>
    <x v="237"/>
  </r>
  <r>
    <x v="237"/>
  </r>
  <r>
    <x v="237"/>
  </r>
  <r>
    <x v="649"/>
  </r>
  <r>
    <x v="168"/>
  </r>
  <r>
    <x v="168"/>
  </r>
  <r>
    <x v="488"/>
  </r>
  <r>
    <x v="358"/>
  </r>
  <r>
    <x v="183"/>
  </r>
  <r>
    <x v="183"/>
  </r>
  <r>
    <x v="183"/>
  </r>
  <r>
    <x v="240"/>
  </r>
  <r>
    <x v="500"/>
  </r>
  <r>
    <x v="500"/>
  </r>
  <r>
    <x v="151"/>
  </r>
  <r>
    <x v="151"/>
  </r>
  <r>
    <x v="746"/>
  </r>
  <r>
    <x v="401"/>
  </r>
  <r>
    <x v="345"/>
  </r>
  <r>
    <x v="748"/>
  </r>
  <r>
    <x v="748"/>
  </r>
  <r>
    <x v="503"/>
  </r>
  <r>
    <x v="503"/>
  </r>
  <r>
    <x v="424"/>
  </r>
  <r>
    <x v="424"/>
  </r>
  <r>
    <x v="424"/>
  </r>
  <r>
    <x v="599"/>
  </r>
  <r>
    <x v="599"/>
  </r>
  <r>
    <x v="146"/>
  </r>
  <r>
    <x v="146"/>
  </r>
  <r>
    <x v="117"/>
  </r>
  <r>
    <x v="117"/>
  </r>
  <r>
    <x v="117"/>
  </r>
  <r>
    <x v="117"/>
  </r>
  <r>
    <x v="117"/>
  </r>
  <r>
    <x v="117"/>
  </r>
  <r>
    <x v="111"/>
  </r>
  <r>
    <x v="111"/>
  </r>
  <r>
    <x v="111"/>
  </r>
  <r>
    <x v="111"/>
  </r>
  <r>
    <x v="111"/>
  </r>
  <r>
    <x v="111"/>
  </r>
  <r>
    <x v="111"/>
  </r>
  <r>
    <x v="457"/>
  </r>
  <r>
    <x v="457"/>
  </r>
  <r>
    <x v="457"/>
  </r>
  <r>
    <x v="416"/>
  </r>
  <r>
    <x v="542"/>
  </r>
  <r>
    <x v="542"/>
  </r>
  <r>
    <x v="451"/>
  </r>
  <r>
    <x v="451"/>
  </r>
  <r>
    <x v="451"/>
  </r>
  <r>
    <x v="451"/>
  </r>
  <r>
    <x v="451"/>
  </r>
  <r>
    <x v="749"/>
  </r>
  <r>
    <x v="722"/>
  </r>
  <r>
    <x v="194"/>
  </r>
  <r>
    <x v="13"/>
  </r>
  <r>
    <x v="13"/>
  </r>
  <r>
    <x v="271"/>
  </r>
  <r>
    <x v="271"/>
  </r>
  <r>
    <x v="252"/>
  </r>
  <r>
    <x v="655"/>
  </r>
  <r>
    <x v="655"/>
  </r>
  <r>
    <x v="655"/>
  </r>
  <r>
    <x v="721"/>
  </r>
  <r>
    <x v="721"/>
  </r>
  <r>
    <x v="683"/>
  </r>
  <r>
    <x v="304"/>
  </r>
  <r>
    <x v="750"/>
  </r>
  <r>
    <x v="750"/>
  </r>
  <r>
    <x v="750"/>
  </r>
  <r>
    <x v="315"/>
  </r>
  <r>
    <x v="315"/>
  </r>
  <r>
    <x v="315"/>
  </r>
  <r>
    <x v="524"/>
  </r>
  <r>
    <x v="555"/>
  </r>
  <r>
    <x v="555"/>
  </r>
  <r>
    <x v="200"/>
  </r>
  <r>
    <x v="731"/>
  </r>
  <r>
    <x v="751"/>
  </r>
  <r>
    <x v="154"/>
  </r>
  <r>
    <x v="151"/>
  </r>
  <r>
    <x v="687"/>
  </r>
  <r>
    <x v="221"/>
  </r>
  <r>
    <x v="221"/>
  </r>
  <r>
    <x v="221"/>
  </r>
  <r>
    <x v="752"/>
  </r>
  <r>
    <x v="752"/>
  </r>
  <r>
    <x v="752"/>
  </r>
  <r>
    <x v="741"/>
  </r>
  <r>
    <x v="204"/>
  </r>
  <r>
    <x v="204"/>
  </r>
  <r>
    <x v="275"/>
  </r>
  <r>
    <x v="423"/>
  </r>
  <r>
    <x v="423"/>
  </r>
  <r>
    <x v="423"/>
  </r>
  <r>
    <x v="245"/>
  </r>
  <r>
    <x v="150"/>
  </r>
  <r>
    <x v="150"/>
  </r>
  <r>
    <x v="150"/>
  </r>
  <r>
    <x v="150"/>
  </r>
  <r>
    <x v="710"/>
  </r>
  <r>
    <x v="710"/>
  </r>
  <r>
    <x v="710"/>
  </r>
  <r>
    <x v="753"/>
  </r>
  <r>
    <x v="753"/>
  </r>
  <r>
    <x v="753"/>
  </r>
  <r>
    <x v="753"/>
  </r>
  <r>
    <x v="753"/>
  </r>
  <r>
    <x v="753"/>
  </r>
  <r>
    <x v="11"/>
  </r>
  <r>
    <x v="225"/>
  </r>
  <r>
    <x v="429"/>
  </r>
  <r>
    <x v="429"/>
  </r>
  <r>
    <x v="406"/>
  </r>
  <r>
    <x v="406"/>
  </r>
  <r>
    <x v="368"/>
  </r>
  <r>
    <x v="596"/>
  </r>
  <r>
    <x v="754"/>
  </r>
  <r>
    <x v="754"/>
  </r>
  <r>
    <x v="81"/>
  </r>
  <r>
    <x v="81"/>
  </r>
  <r>
    <x v="671"/>
  </r>
  <r>
    <x v="671"/>
  </r>
  <r>
    <x v="671"/>
  </r>
  <r>
    <x v="721"/>
  </r>
  <r>
    <x v="721"/>
  </r>
  <r>
    <x v="671"/>
  </r>
  <r>
    <x v="344"/>
  </r>
  <r>
    <x v="740"/>
  </r>
  <r>
    <x v="740"/>
  </r>
  <r>
    <x v="740"/>
  </r>
  <r>
    <x v="740"/>
  </r>
  <r>
    <x v="740"/>
  </r>
  <r>
    <x v="740"/>
  </r>
  <r>
    <x v="169"/>
  </r>
  <r>
    <x v="68"/>
  </r>
  <r>
    <x v="68"/>
  </r>
  <r>
    <x v="68"/>
  </r>
  <r>
    <x v="68"/>
  </r>
  <r>
    <x v="68"/>
  </r>
  <r>
    <x v="335"/>
  </r>
  <r>
    <x v="331"/>
  </r>
  <r>
    <x v="621"/>
  </r>
  <r>
    <x v="621"/>
  </r>
  <r>
    <x v="152"/>
  </r>
  <r>
    <x v="332"/>
  </r>
  <r>
    <x v="2"/>
  </r>
  <r>
    <x v="433"/>
  </r>
  <r>
    <x v="755"/>
  </r>
  <r>
    <x v="755"/>
  </r>
  <r>
    <x v="755"/>
  </r>
  <r>
    <x v="755"/>
  </r>
  <r>
    <x v="755"/>
  </r>
  <r>
    <x v="310"/>
  </r>
  <r>
    <x v="431"/>
  </r>
  <r>
    <x v="344"/>
  </r>
  <r>
    <x v="207"/>
  </r>
  <r>
    <x v="422"/>
  </r>
  <r>
    <x v="76"/>
  </r>
  <r>
    <x v="747"/>
  </r>
  <r>
    <x v="312"/>
  </r>
  <r>
    <x v="312"/>
  </r>
  <r>
    <x v="98"/>
  </r>
  <r>
    <x v="98"/>
  </r>
  <r>
    <x v="564"/>
  </r>
  <r>
    <x v="521"/>
  </r>
  <r>
    <x v="521"/>
  </r>
  <r>
    <x v="521"/>
  </r>
  <r>
    <x v="521"/>
  </r>
  <r>
    <x v="521"/>
  </r>
  <r>
    <x v="521"/>
  </r>
  <r>
    <x v="521"/>
  </r>
  <r>
    <x v="495"/>
  </r>
  <r>
    <x v="188"/>
  </r>
  <r>
    <x v="188"/>
  </r>
  <r>
    <x v="188"/>
  </r>
  <r>
    <x v="426"/>
  </r>
  <r>
    <x v="0"/>
  </r>
  <r>
    <x v="46"/>
  </r>
  <r>
    <x v="728"/>
  </r>
  <r>
    <x v="445"/>
  </r>
  <r>
    <x v="42"/>
  </r>
  <r>
    <x v="42"/>
  </r>
  <r>
    <x v="132"/>
  </r>
  <r>
    <x v="132"/>
  </r>
  <r>
    <x v="316"/>
  </r>
  <r>
    <x v="316"/>
  </r>
  <r>
    <x v="316"/>
  </r>
  <r>
    <x v="399"/>
  </r>
  <r>
    <x v="399"/>
  </r>
  <r>
    <x v="399"/>
  </r>
  <r>
    <x v="399"/>
  </r>
  <r>
    <x v="34"/>
  </r>
  <r>
    <x v="34"/>
  </r>
  <r>
    <x v="224"/>
  </r>
  <r>
    <x v="84"/>
  </r>
  <r>
    <x v="84"/>
  </r>
  <r>
    <x v="84"/>
  </r>
  <r>
    <x v="84"/>
  </r>
  <r>
    <x v="84"/>
  </r>
  <r>
    <x v="478"/>
  </r>
  <r>
    <x v="132"/>
  </r>
  <r>
    <x v="123"/>
  </r>
  <r>
    <x v="81"/>
  </r>
  <r>
    <x v="81"/>
  </r>
  <r>
    <x v="519"/>
  </r>
  <r>
    <x v="622"/>
  </r>
  <r>
    <x v="469"/>
  </r>
  <r>
    <x v="564"/>
  </r>
  <r>
    <x v="564"/>
  </r>
  <r>
    <x v="49"/>
  </r>
  <r>
    <x v="85"/>
  </r>
  <r>
    <x v="756"/>
  </r>
  <r>
    <x v="756"/>
  </r>
  <r>
    <x v="562"/>
  </r>
  <r>
    <x v="721"/>
  </r>
  <r>
    <x v="721"/>
  </r>
  <r>
    <x v="721"/>
  </r>
  <r>
    <x v="721"/>
  </r>
  <r>
    <x v="721"/>
  </r>
  <r>
    <x v="721"/>
  </r>
  <r>
    <x v="467"/>
  </r>
  <r>
    <x v="458"/>
  </r>
  <r>
    <x v="437"/>
  </r>
  <r>
    <x v="318"/>
  </r>
  <r>
    <x v="64"/>
  </r>
  <r>
    <x v="757"/>
  </r>
  <r>
    <x v="757"/>
  </r>
  <r>
    <x v="757"/>
  </r>
  <r>
    <x v="757"/>
  </r>
  <r>
    <x v="469"/>
  </r>
  <r>
    <x v="469"/>
  </r>
  <r>
    <x v="285"/>
  </r>
  <r>
    <x v="640"/>
  </r>
  <r>
    <x v="640"/>
  </r>
  <r>
    <x v="640"/>
  </r>
  <r>
    <x v="102"/>
  </r>
  <r>
    <x v="102"/>
  </r>
  <r>
    <x v="102"/>
  </r>
  <r>
    <x v="102"/>
  </r>
  <r>
    <x v="263"/>
  </r>
  <r>
    <x v="263"/>
  </r>
  <r>
    <x v="263"/>
  </r>
  <r>
    <x v="263"/>
  </r>
  <r>
    <x v="495"/>
  </r>
  <r>
    <x v="495"/>
  </r>
  <r>
    <x v="149"/>
  </r>
  <r>
    <x v="149"/>
  </r>
  <r>
    <x v="149"/>
  </r>
  <r>
    <x v="149"/>
  </r>
  <r>
    <x v="149"/>
  </r>
  <r>
    <x v="552"/>
  </r>
  <r>
    <x v="552"/>
  </r>
  <r>
    <x v="752"/>
  </r>
  <r>
    <x v="174"/>
  </r>
  <r>
    <x v="174"/>
  </r>
  <r>
    <x v="174"/>
  </r>
  <r>
    <x v="267"/>
  </r>
  <r>
    <x v="267"/>
  </r>
  <r>
    <x v="267"/>
  </r>
  <r>
    <x v="462"/>
  </r>
  <r>
    <x v="329"/>
  </r>
  <r>
    <x v="566"/>
  </r>
  <r>
    <x v="566"/>
  </r>
  <r>
    <x v="68"/>
  </r>
  <r>
    <x v="68"/>
  </r>
  <r>
    <x v="68"/>
  </r>
  <r>
    <x v="68"/>
  </r>
  <r>
    <x v="68"/>
  </r>
  <r>
    <x v="150"/>
  </r>
  <r>
    <x v="451"/>
  </r>
  <r>
    <x v="556"/>
  </r>
  <r>
    <x v="556"/>
  </r>
  <r>
    <x v="745"/>
  </r>
  <r>
    <x v="745"/>
  </r>
  <r>
    <x v="745"/>
  </r>
  <r>
    <x v="706"/>
  </r>
  <r>
    <x v="706"/>
  </r>
  <r>
    <x v="706"/>
  </r>
  <r>
    <x v="706"/>
  </r>
  <r>
    <x v="706"/>
  </r>
  <r>
    <x v="758"/>
  </r>
  <r>
    <x v="196"/>
  </r>
  <r>
    <x v="123"/>
  </r>
  <r>
    <x v="123"/>
  </r>
  <r>
    <x v="123"/>
  </r>
  <r>
    <x v="176"/>
  </r>
  <r>
    <x v="483"/>
  </r>
  <r>
    <x v="306"/>
  </r>
  <r>
    <x v="306"/>
  </r>
  <r>
    <x v="306"/>
  </r>
  <r>
    <x v="306"/>
  </r>
  <r>
    <x v="306"/>
  </r>
  <r>
    <x v="306"/>
  </r>
  <r>
    <x v="306"/>
  </r>
  <r>
    <x v="306"/>
  </r>
  <r>
    <x v="739"/>
  </r>
  <r>
    <x v="615"/>
  </r>
  <r>
    <x v="615"/>
  </r>
  <r>
    <x v="372"/>
  </r>
  <r>
    <x v="372"/>
  </r>
  <r>
    <x v="443"/>
  </r>
  <r>
    <x v="443"/>
  </r>
  <r>
    <x v="443"/>
  </r>
  <r>
    <x v="443"/>
  </r>
  <r>
    <x v="685"/>
  </r>
  <r>
    <x v="685"/>
  </r>
  <r>
    <x v="385"/>
  </r>
  <r>
    <x v="150"/>
  </r>
  <r>
    <x v="150"/>
  </r>
  <r>
    <x v="150"/>
  </r>
  <r>
    <x v="85"/>
  </r>
  <r>
    <x v="502"/>
  </r>
  <r>
    <x v="318"/>
  </r>
  <r>
    <x v="318"/>
  </r>
  <r>
    <x v="318"/>
  </r>
  <r>
    <x v="318"/>
  </r>
  <r>
    <x v="318"/>
  </r>
  <r>
    <x v="318"/>
  </r>
  <r>
    <x v="318"/>
  </r>
  <r>
    <x v="647"/>
  </r>
  <r>
    <x v="647"/>
  </r>
  <r>
    <x v="647"/>
  </r>
  <r>
    <x v="647"/>
  </r>
  <r>
    <x v="179"/>
  </r>
  <r>
    <x v="179"/>
  </r>
  <r>
    <x v="219"/>
  </r>
  <r>
    <x v="219"/>
  </r>
  <r>
    <x v="219"/>
  </r>
  <r>
    <x v="74"/>
  </r>
  <r>
    <x v="74"/>
  </r>
  <r>
    <x v="590"/>
  </r>
  <r>
    <x v="554"/>
  </r>
  <r>
    <x v="56"/>
  </r>
  <r>
    <x v="759"/>
  </r>
  <r>
    <x v="584"/>
  </r>
  <r>
    <x v="584"/>
  </r>
  <r>
    <x v="584"/>
  </r>
  <r>
    <x v="584"/>
  </r>
  <r>
    <x v="584"/>
  </r>
  <r>
    <x v="584"/>
  </r>
  <r>
    <x v="584"/>
  </r>
  <r>
    <x v="237"/>
  </r>
  <r>
    <x v="237"/>
  </r>
  <r>
    <x v="5"/>
  </r>
  <r>
    <x v="5"/>
  </r>
  <r>
    <x v="5"/>
  </r>
  <r>
    <x v="760"/>
  </r>
  <r>
    <x v="760"/>
  </r>
  <r>
    <x v="476"/>
  </r>
  <r>
    <x v="365"/>
  </r>
  <r>
    <x v="365"/>
  </r>
  <r>
    <x v="761"/>
  </r>
  <r>
    <x v="193"/>
  </r>
  <r>
    <x v="460"/>
  </r>
  <r>
    <x v="622"/>
  </r>
  <r>
    <x v="499"/>
  </r>
  <r>
    <x v="635"/>
  </r>
  <r>
    <x v="635"/>
  </r>
  <r>
    <x v="635"/>
  </r>
  <r>
    <x v="733"/>
  </r>
  <r>
    <x v="126"/>
  </r>
  <r>
    <x v="126"/>
  </r>
  <r>
    <x v="126"/>
  </r>
  <r>
    <x v="414"/>
  </r>
  <r>
    <x v="145"/>
  </r>
  <r>
    <x v="145"/>
  </r>
  <r>
    <x v="145"/>
  </r>
  <r>
    <x v="9"/>
  </r>
  <r>
    <x v="762"/>
  </r>
  <r>
    <x v="660"/>
  </r>
  <r>
    <x v="660"/>
  </r>
  <r>
    <x v="236"/>
  </r>
  <r>
    <x v="236"/>
  </r>
  <r>
    <x v="236"/>
  </r>
  <r>
    <x v="236"/>
  </r>
  <r>
    <x v="236"/>
  </r>
  <r>
    <x v="675"/>
  </r>
  <r>
    <x v="675"/>
  </r>
  <r>
    <x v="353"/>
  </r>
  <r>
    <x v="710"/>
  </r>
  <r>
    <x v="710"/>
  </r>
  <r>
    <x v="400"/>
  </r>
  <r>
    <x v="400"/>
  </r>
  <r>
    <x v="299"/>
  </r>
  <r>
    <x v="299"/>
  </r>
  <r>
    <x v="299"/>
  </r>
  <r>
    <x v="299"/>
  </r>
  <r>
    <x v="299"/>
  </r>
  <r>
    <x v="299"/>
  </r>
  <r>
    <x v="299"/>
  </r>
  <r>
    <x v="90"/>
  </r>
  <r>
    <x v="331"/>
  </r>
  <r>
    <x v="217"/>
  </r>
  <r>
    <x v="298"/>
  </r>
  <r>
    <x v="298"/>
  </r>
  <r>
    <x v="298"/>
  </r>
  <r>
    <x v="298"/>
  </r>
  <r>
    <x v="167"/>
  </r>
  <r>
    <x v="290"/>
  </r>
  <r>
    <x v="763"/>
  </r>
  <r>
    <x v="98"/>
  </r>
  <r>
    <x v="98"/>
  </r>
  <r>
    <x v="278"/>
  </r>
  <r>
    <x v="462"/>
  </r>
  <r>
    <x v="649"/>
  </r>
  <r>
    <x v="594"/>
  </r>
  <r>
    <x v="612"/>
  </r>
  <r>
    <x v="764"/>
  </r>
  <r>
    <x v="764"/>
  </r>
  <r>
    <x v="764"/>
  </r>
  <r>
    <x v="764"/>
  </r>
  <r>
    <x v="764"/>
  </r>
  <r>
    <x v="764"/>
  </r>
  <r>
    <x v="764"/>
  </r>
  <r>
    <x v="466"/>
  </r>
  <r>
    <x v="667"/>
  </r>
  <r>
    <x v="30"/>
  </r>
  <r>
    <x v="30"/>
  </r>
  <r>
    <x v="30"/>
  </r>
  <r>
    <x v="164"/>
  </r>
  <r>
    <x v="164"/>
  </r>
  <r>
    <x v="85"/>
  </r>
  <r>
    <x v="85"/>
  </r>
  <r>
    <x v="85"/>
  </r>
  <r>
    <x v="491"/>
  </r>
  <r>
    <x v="239"/>
  </r>
  <r>
    <x v="660"/>
  </r>
  <r>
    <x v="660"/>
  </r>
  <r>
    <x v="660"/>
  </r>
  <r>
    <x v="385"/>
  </r>
  <r>
    <x v="352"/>
  </r>
  <r>
    <x v="352"/>
  </r>
  <r>
    <x v="679"/>
  </r>
  <r>
    <x v="679"/>
  </r>
  <r>
    <x v="651"/>
  </r>
  <r>
    <x v="651"/>
  </r>
  <r>
    <x v="651"/>
  </r>
  <r>
    <x v="651"/>
  </r>
  <r>
    <x v="554"/>
  </r>
  <r>
    <x v="554"/>
  </r>
  <r>
    <x v="554"/>
  </r>
  <r>
    <x v="554"/>
  </r>
  <r>
    <x v="554"/>
  </r>
  <r>
    <x v="400"/>
  </r>
  <r>
    <x v="400"/>
  </r>
  <r>
    <x v="183"/>
  </r>
  <r>
    <x v="183"/>
  </r>
  <r>
    <x v="423"/>
  </r>
  <r>
    <x v="423"/>
  </r>
  <r>
    <x v="423"/>
  </r>
  <r>
    <x v="590"/>
  </r>
  <r>
    <x v="576"/>
  </r>
  <r>
    <x v="576"/>
  </r>
  <r>
    <x v="576"/>
  </r>
  <r>
    <x v="576"/>
  </r>
  <r>
    <x v="576"/>
  </r>
  <r>
    <x v="585"/>
  </r>
  <r>
    <x v="131"/>
  </r>
  <r>
    <x v="131"/>
  </r>
  <r>
    <x v="131"/>
  </r>
  <r>
    <x v="131"/>
  </r>
  <r>
    <x v="533"/>
  </r>
  <r>
    <x v="649"/>
  </r>
  <r>
    <x v="19"/>
  </r>
  <r>
    <x v="526"/>
  </r>
  <r>
    <x v="655"/>
  </r>
  <r>
    <x v="655"/>
  </r>
  <r>
    <x v="655"/>
  </r>
  <r>
    <x v="161"/>
  </r>
  <r>
    <x v="161"/>
  </r>
  <r>
    <x v="161"/>
  </r>
  <r>
    <x v="83"/>
  </r>
  <r>
    <x v="391"/>
  </r>
  <r>
    <x v="391"/>
  </r>
  <r>
    <x v="130"/>
  </r>
  <r>
    <x v="130"/>
  </r>
  <r>
    <x v="344"/>
  </r>
  <r>
    <x v="314"/>
  </r>
  <r>
    <x v="416"/>
  </r>
  <r>
    <x v="765"/>
  </r>
  <r>
    <x v="659"/>
  </r>
  <r>
    <x v="659"/>
  </r>
  <r>
    <x v="659"/>
  </r>
  <r>
    <x v="512"/>
  </r>
  <r>
    <x v="512"/>
  </r>
  <r>
    <x v="512"/>
  </r>
  <r>
    <x v="379"/>
  </r>
  <r>
    <x v="379"/>
  </r>
  <r>
    <x v="379"/>
  </r>
  <r>
    <x v="766"/>
  </r>
  <r>
    <x v="121"/>
  </r>
  <r>
    <x v="121"/>
  </r>
  <r>
    <x v="461"/>
  </r>
  <r>
    <x v="334"/>
  </r>
  <r>
    <x v="10"/>
  </r>
  <r>
    <x v="10"/>
  </r>
  <r>
    <x v="652"/>
  </r>
  <r>
    <x v="652"/>
  </r>
  <r>
    <x v="652"/>
  </r>
  <r>
    <x v="652"/>
  </r>
  <r>
    <x v="652"/>
  </r>
  <r>
    <x v="261"/>
  </r>
  <r>
    <x v="413"/>
  </r>
  <r>
    <x v="413"/>
  </r>
  <r>
    <x v="303"/>
  </r>
  <r>
    <x v="705"/>
  </r>
  <r>
    <x v="705"/>
  </r>
  <r>
    <x v="705"/>
  </r>
  <r>
    <x v="306"/>
  </r>
  <r>
    <x v="720"/>
  </r>
  <r>
    <x v="720"/>
  </r>
  <r>
    <x v="720"/>
  </r>
  <r>
    <x v="327"/>
  </r>
  <r>
    <x v="169"/>
  </r>
  <r>
    <x v="175"/>
  </r>
  <r>
    <x v="400"/>
  </r>
  <r>
    <x v="400"/>
  </r>
  <r>
    <x v="606"/>
  </r>
  <r>
    <x v="606"/>
  </r>
  <r>
    <x v="78"/>
  </r>
  <r>
    <x v="76"/>
  </r>
  <r>
    <x v="266"/>
  </r>
  <r>
    <x v="266"/>
  </r>
  <r>
    <x v="266"/>
  </r>
  <r>
    <x v="266"/>
  </r>
  <r>
    <x v="81"/>
  </r>
  <r>
    <x v="81"/>
  </r>
  <r>
    <x v="81"/>
  </r>
  <r>
    <x v="571"/>
  </r>
  <r>
    <x v="195"/>
  </r>
  <r>
    <x v="45"/>
  </r>
  <r>
    <x v="45"/>
  </r>
  <r>
    <x v="45"/>
  </r>
  <r>
    <x v="45"/>
  </r>
  <r>
    <x v="757"/>
  </r>
  <r>
    <x v="757"/>
  </r>
  <r>
    <x v="757"/>
  </r>
  <r>
    <x v="570"/>
  </r>
  <r>
    <x v="570"/>
  </r>
  <r>
    <x v="570"/>
  </r>
  <r>
    <x v="570"/>
  </r>
  <r>
    <x v="655"/>
  </r>
  <r>
    <x v="655"/>
  </r>
  <r>
    <x v="759"/>
  </r>
  <r>
    <x v="759"/>
  </r>
  <r>
    <x v="364"/>
  </r>
  <r>
    <x v="364"/>
  </r>
  <r>
    <x v="364"/>
  </r>
  <r>
    <x v="364"/>
  </r>
  <r>
    <x v="393"/>
  </r>
  <r>
    <x v="393"/>
  </r>
  <r>
    <x v="368"/>
  </r>
  <r>
    <x v="368"/>
  </r>
  <r>
    <x v="424"/>
  </r>
  <r>
    <x v="104"/>
  </r>
  <r>
    <x v="104"/>
  </r>
  <r>
    <x v="158"/>
  </r>
  <r>
    <x v="564"/>
  </r>
  <r>
    <x v="564"/>
  </r>
  <r>
    <x v="327"/>
  </r>
  <r>
    <x v="400"/>
  </r>
  <r>
    <x v="94"/>
  </r>
  <r>
    <x v="442"/>
  </r>
  <r>
    <x v="633"/>
  </r>
  <r>
    <x v="490"/>
  </r>
  <r>
    <x v="490"/>
  </r>
  <r>
    <x v="490"/>
  </r>
  <r>
    <x v="490"/>
  </r>
  <r>
    <x v="490"/>
  </r>
  <r>
    <x v="490"/>
  </r>
  <r>
    <x v="240"/>
  </r>
  <r>
    <x v="696"/>
  </r>
  <r>
    <x v="663"/>
  </r>
  <r>
    <x v="238"/>
  </r>
  <r>
    <x v="143"/>
  </r>
  <r>
    <x v="767"/>
  </r>
  <r>
    <x v="767"/>
  </r>
  <r>
    <x v="745"/>
  </r>
  <r>
    <x v="745"/>
  </r>
  <r>
    <x v="745"/>
  </r>
  <r>
    <x v="511"/>
  </r>
  <r>
    <x v="231"/>
  </r>
  <r>
    <x v="231"/>
  </r>
  <r>
    <x v="450"/>
  </r>
  <r>
    <x v="450"/>
  </r>
  <r>
    <x v="74"/>
  </r>
  <r>
    <x v="74"/>
  </r>
  <r>
    <x v="74"/>
  </r>
  <r>
    <x v="231"/>
  </r>
  <r>
    <x v="104"/>
  </r>
  <r>
    <x v="104"/>
  </r>
  <r>
    <x v="104"/>
  </r>
  <r>
    <x v="104"/>
  </r>
  <r>
    <x v="104"/>
  </r>
  <r>
    <x v="104"/>
  </r>
  <r>
    <x v="141"/>
  </r>
  <r>
    <x v="212"/>
  </r>
  <r>
    <x v="212"/>
  </r>
  <r>
    <x v="212"/>
  </r>
  <r>
    <x v="182"/>
  </r>
  <r>
    <x v="182"/>
  </r>
  <r>
    <x v="182"/>
  </r>
  <r>
    <x v="182"/>
  </r>
  <r>
    <x v="182"/>
  </r>
  <r>
    <x v="380"/>
  </r>
  <r>
    <x v="380"/>
  </r>
  <r>
    <x v="380"/>
  </r>
  <r>
    <x v="380"/>
  </r>
  <r>
    <x v="380"/>
  </r>
  <r>
    <x v="380"/>
  </r>
  <r>
    <x v="380"/>
  </r>
  <r>
    <x v="372"/>
  </r>
  <r>
    <x v="637"/>
  </r>
  <r>
    <x v="637"/>
  </r>
  <r>
    <x v="637"/>
  </r>
  <r>
    <x v="637"/>
  </r>
  <r>
    <x v="637"/>
  </r>
  <r>
    <x v="121"/>
  </r>
  <r>
    <x v="359"/>
  </r>
  <r>
    <x v="743"/>
  </r>
  <r>
    <x v="608"/>
  </r>
  <r>
    <x v="646"/>
  </r>
  <r>
    <x v="646"/>
  </r>
  <r>
    <x v="646"/>
  </r>
  <r>
    <x v="55"/>
  </r>
  <r>
    <x v="55"/>
  </r>
  <r>
    <x v="55"/>
  </r>
  <r>
    <x v="55"/>
  </r>
  <r>
    <x v="55"/>
  </r>
  <r>
    <x v="55"/>
  </r>
  <r>
    <x v="492"/>
  </r>
  <r>
    <x v="492"/>
  </r>
  <r>
    <x v="137"/>
  </r>
  <r>
    <x v="369"/>
  </r>
  <r>
    <x v="739"/>
  </r>
  <r>
    <x v="739"/>
  </r>
  <r>
    <x v="739"/>
  </r>
  <r>
    <x v="739"/>
  </r>
  <r>
    <x v="443"/>
  </r>
  <r>
    <x v="443"/>
  </r>
  <r>
    <x v="105"/>
  </r>
  <r>
    <x v="105"/>
  </r>
  <r>
    <x v="729"/>
  </r>
  <r>
    <x v="740"/>
  </r>
  <r>
    <x v="740"/>
  </r>
  <r>
    <x v="380"/>
  </r>
  <r>
    <x v="380"/>
  </r>
  <r>
    <x v="380"/>
  </r>
  <r>
    <x v="380"/>
  </r>
  <r>
    <x v="61"/>
  </r>
  <r>
    <x v="591"/>
  </r>
  <r>
    <x v="591"/>
  </r>
  <r>
    <x v="591"/>
  </r>
  <r>
    <x v="591"/>
  </r>
  <r>
    <x v="403"/>
  </r>
  <r>
    <x v="403"/>
  </r>
  <r>
    <x v="403"/>
  </r>
  <r>
    <x v="82"/>
  </r>
  <r>
    <x v="74"/>
  </r>
  <r>
    <x v="74"/>
  </r>
  <r>
    <x v="74"/>
  </r>
  <r>
    <x v="74"/>
  </r>
  <r>
    <x v="74"/>
  </r>
  <r>
    <x v="325"/>
  </r>
  <r>
    <x v="504"/>
  </r>
  <r>
    <x v="229"/>
  </r>
  <r>
    <x v="42"/>
  </r>
  <r>
    <x v="42"/>
  </r>
  <r>
    <x v="42"/>
  </r>
  <r>
    <x v="42"/>
  </r>
  <r>
    <x v="710"/>
  </r>
  <r>
    <x v="768"/>
  </r>
  <r>
    <x v="390"/>
  </r>
  <r>
    <x v="484"/>
  </r>
  <r>
    <x v="711"/>
  </r>
  <r>
    <x v="711"/>
  </r>
  <r>
    <x v="711"/>
  </r>
  <r>
    <x v="307"/>
  </r>
  <r>
    <x v="734"/>
  </r>
  <r>
    <x v="288"/>
  </r>
  <r>
    <x v="562"/>
  </r>
  <r>
    <x v="562"/>
  </r>
  <r>
    <x v="562"/>
  </r>
  <r>
    <x v="562"/>
  </r>
  <r>
    <x v="562"/>
  </r>
  <r>
    <x v="528"/>
  </r>
  <r>
    <x v="528"/>
  </r>
  <r>
    <x v="580"/>
  </r>
  <r>
    <x v="635"/>
  </r>
  <r>
    <x v="635"/>
  </r>
  <r>
    <x v="635"/>
  </r>
  <r>
    <x v="429"/>
  </r>
  <r>
    <x v="429"/>
  </r>
  <r>
    <x v="4"/>
  </r>
  <r>
    <x v="517"/>
  </r>
  <r>
    <x v="718"/>
  </r>
  <r>
    <x v="718"/>
  </r>
  <r>
    <x v="471"/>
  </r>
  <r>
    <x v="175"/>
  </r>
  <r>
    <x v="175"/>
  </r>
  <r>
    <x v="274"/>
  </r>
  <r>
    <x v="318"/>
  </r>
  <r>
    <x v="318"/>
  </r>
  <r>
    <x v="318"/>
  </r>
  <r>
    <x v="318"/>
  </r>
  <r>
    <x v="123"/>
  </r>
  <r>
    <x v="113"/>
  </r>
  <r>
    <x v="93"/>
  </r>
  <r>
    <x v="93"/>
  </r>
  <r>
    <x v="580"/>
  </r>
  <r>
    <x v="45"/>
  </r>
  <r>
    <x v="45"/>
  </r>
  <r>
    <x v="45"/>
  </r>
  <r>
    <x v="769"/>
  </r>
  <r>
    <x v="769"/>
  </r>
  <r>
    <x v="770"/>
  </r>
  <r>
    <x v="770"/>
  </r>
  <r>
    <x v="770"/>
  </r>
  <r>
    <x v="770"/>
  </r>
  <r>
    <x v="565"/>
  </r>
  <r>
    <x v="49"/>
  </r>
  <r>
    <x v="49"/>
  </r>
  <r>
    <x v="49"/>
  </r>
  <r>
    <x v="591"/>
  </r>
  <r>
    <x v="123"/>
  </r>
  <r>
    <x v="339"/>
  </r>
  <r>
    <x v="272"/>
  </r>
  <r>
    <x v="360"/>
  </r>
  <r>
    <x v="453"/>
  </r>
  <r>
    <x v="453"/>
  </r>
  <r>
    <x v="619"/>
  </r>
  <r>
    <x v="683"/>
  </r>
  <r>
    <x v="683"/>
  </r>
  <r>
    <x v="683"/>
  </r>
  <r>
    <x v="309"/>
  </r>
  <r>
    <x v="454"/>
  </r>
  <r>
    <x v="454"/>
  </r>
  <r>
    <x v="454"/>
  </r>
  <r>
    <x v="292"/>
  </r>
  <r>
    <x v="292"/>
  </r>
  <r>
    <x v="428"/>
  </r>
  <r>
    <x v="428"/>
  </r>
  <r>
    <x v="428"/>
  </r>
  <r>
    <x v="641"/>
  </r>
  <r>
    <x v="752"/>
  </r>
  <r>
    <x v="288"/>
  </r>
  <r>
    <x v="599"/>
  </r>
  <r>
    <x v="377"/>
  </r>
  <r>
    <x v="377"/>
  </r>
  <r>
    <x v="35"/>
  </r>
  <r>
    <x v="313"/>
  </r>
  <r>
    <x v="313"/>
  </r>
  <r>
    <x v="161"/>
  </r>
  <r>
    <x v="161"/>
  </r>
  <r>
    <x v="459"/>
  </r>
  <r>
    <x v="459"/>
  </r>
  <r>
    <x v="503"/>
  </r>
  <r>
    <x v="503"/>
  </r>
  <r>
    <x v="189"/>
  </r>
  <r>
    <x v="189"/>
  </r>
  <r>
    <x v="747"/>
  </r>
  <r>
    <x v="747"/>
  </r>
  <r>
    <x v="546"/>
  </r>
  <r>
    <x v="153"/>
  </r>
  <r>
    <x v="153"/>
  </r>
  <r>
    <x v="153"/>
  </r>
  <r>
    <x v="297"/>
  </r>
  <r>
    <x v="297"/>
  </r>
  <r>
    <x v="563"/>
  </r>
  <r>
    <x v="563"/>
  </r>
  <r>
    <x v="405"/>
  </r>
  <r>
    <x v="757"/>
  </r>
  <r>
    <x v="649"/>
  </r>
  <r>
    <x v="649"/>
  </r>
  <r>
    <x v="649"/>
  </r>
  <r>
    <x v="649"/>
  </r>
  <r>
    <x v="500"/>
  </r>
  <r>
    <x v="771"/>
  </r>
  <r>
    <x v="355"/>
  </r>
  <r>
    <x v="685"/>
  </r>
  <r>
    <x v="698"/>
  </r>
  <r>
    <x v="480"/>
  </r>
  <r>
    <x v="40"/>
  </r>
  <r>
    <x v="40"/>
  </r>
  <r>
    <x v="338"/>
  </r>
  <r>
    <x v="338"/>
  </r>
  <r>
    <x v="218"/>
  </r>
  <r>
    <x v="218"/>
  </r>
  <r>
    <x v="218"/>
  </r>
  <r>
    <x v="233"/>
  </r>
  <r>
    <x v="720"/>
  </r>
  <r>
    <x v="720"/>
  </r>
  <r>
    <x v="81"/>
  </r>
  <r>
    <x v="759"/>
  </r>
  <r>
    <x v="759"/>
  </r>
  <r>
    <x v="759"/>
  </r>
  <r>
    <x v="759"/>
  </r>
  <r>
    <x v="759"/>
  </r>
  <r>
    <x v="759"/>
  </r>
  <r>
    <x v="759"/>
  </r>
  <r>
    <x v="468"/>
  </r>
  <r>
    <x v="144"/>
  </r>
  <r>
    <x v="353"/>
  </r>
  <r>
    <x v="353"/>
  </r>
  <r>
    <x v="353"/>
  </r>
  <r>
    <x v="118"/>
  </r>
  <r>
    <x v="320"/>
  </r>
  <r>
    <x v="486"/>
  </r>
  <r>
    <x v="529"/>
  </r>
  <r>
    <x v="203"/>
  </r>
  <r>
    <x v="772"/>
  </r>
  <r>
    <x v="772"/>
  </r>
  <r>
    <x v="772"/>
  </r>
  <r>
    <x v="282"/>
  </r>
  <r>
    <x v="282"/>
  </r>
  <r>
    <x v="282"/>
  </r>
  <r>
    <x v="282"/>
  </r>
  <r>
    <x v="282"/>
  </r>
  <r>
    <x v="282"/>
  </r>
  <r>
    <x v="359"/>
  </r>
  <r>
    <x v="359"/>
  </r>
  <r>
    <x v="359"/>
  </r>
  <r>
    <x v="338"/>
  </r>
  <r>
    <x v="338"/>
  </r>
  <r>
    <x v="338"/>
  </r>
  <r>
    <x v="338"/>
  </r>
  <r>
    <x v="334"/>
  </r>
  <r>
    <x v="334"/>
  </r>
  <r>
    <x v="49"/>
  </r>
  <r>
    <x v="49"/>
  </r>
  <r>
    <x v="309"/>
  </r>
  <r>
    <x v="351"/>
  </r>
  <r>
    <x v="422"/>
  </r>
  <r>
    <x v="422"/>
  </r>
  <r>
    <x v="324"/>
  </r>
  <r>
    <x v="696"/>
  </r>
  <r>
    <x v="696"/>
  </r>
  <r>
    <x v="301"/>
  </r>
  <r>
    <x v="182"/>
  </r>
  <r>
    <x v="182"/>
  </r>
  <r>
    <x v="182"/>
  </r>
  <r>
    <x v="182"/>
  </r>
  <r>
    <x v="182"/>
  </r>
  <r>
    <x v="21"/>
  </r>
  <r>
    <x v="687"/>
  </r>
  <r>
    <x v="642"/>
  </r>
  <r>
    <x v="567"/>
  </r>
  <r>
    <x v="567"/>
  </r>
  <r>
    <x v="567"/>
  </r>
  <r>
    <x v="567"/>
  </r>
  <r>
    <x v="764"/>
  </r>
  <r>
    <x v="764"/>
  </r>
  <r>
    <x v="764"/>
  </r>
  <r>
    <x v="764"/>
  </r>
  <r>
    <x v="764"/>
  </r>
  <r>
    <x v="764"/>
  </r>
  <r>
    <x v="735"/>
  </r>
  <r>
    <x v="735"/>
  </r>
  <r>
    <x v="551"/>
  </r>
  <r>
    <x v="330"/>
  </r>
  <r>
    <x v="330"/>
  </r>
  <r>
    <x v="717"/>
  </r>
  <r>
    <x v="717"/>
  </r>
  <r>
    <x v="717"/>
  </r>
  <r>
    <x v="615"/>
  </r>
  <r>
    <x v="81"/>
  </r>
  <r>
    <x v="81"/>
  </r>
  <r>
    <x v="81"/>
  </r>
  <r>
    <x v="692"/>
  </r>
  <r>
    <x v="690"/>
  </r>
  <r>
    <x v="169"/>
  </r>
  <r>
    <x v="169"/>
  </r>
  <r>
    <x v="169"/>
  </r>
  <r>
    <x v="169"/>
  </r>
  <r>
    <x v="487"/>
  </r>
  <r>
    <x v="487"/>
  </r>
  <r>
    <x v="487"/>
  </r>
  <r>
    <x v="487"/>
  </r>
  <r>
    <x v="487"/>
  </r>
  <r>
    <x v="100"/>
  </r>
  <r>
    <x v="100"/>
  </r>
  <r>
    <x v="633"/>
  </r>
  <r>
    <x v="692"/>
  </r>
  <r>
    <x v="692"/>
  </r>
  <r>
    <x v="692"/>
  </r>
  <r>
    <x v="692"/>
  </r>
  <r>
    <x v="692"/>
  </r>
  <r>
    <x v="755"/>
  </r>
  <r>
    <x v="78"/>
  </r>
  <r>
    <x v="78"/>
  </r>
  <r>
    <x v="78"/>
  </r>
  <r>
    <x v="190"/>
  </r>
  <r>
    <x v="190"/>
  </r>
  <r>
    <x v="190"/>
  </r>
  <r>
    <x v="190"/>
  </r>
  <r>
    <x v="409"/>
  </r>
  <r>
    <x v="409"/>
  </r>
  <r>
    <x v="409"/>
  </r>
  <r>
    <x v="409"/>
  </r>
  <r>
    <x v="409"/>
  </r>
  <r>
    <x v="409"/>
  </r>
  <r>
    <x v="162"/>
  </r>
  <r>
    <x v="502"/>
  </r>
  <r>
    <x v="502"/>
  </r>
  <r>
    <x v="331"/>
  </r>
  <r>
    <x v="331"/>
  </r>
  <r>
    <x v="381"/>
  </r>
  <r>
    <x v="556"/>
  </r>
  <r>
    <x v="556"/>
  </r>
  <r>
    <x v="556"/>
  </r>
  <r>
    <x v="398"/>
  </r>
  <r>
    <x v="364"/>
  </r>
  <r>
    <x v="364"/>
  </r>
  <r>
    <x v="364"/>
  </r>
  <r>
    <x v="364"/>
  </r>
  <r>
    <x v="364"/>
  </r>
  <r>
    <x v="364"/>
  </r>
  <r>
    <x v="614"/>
  </r>
  <r>
    <x v="476"/>
  </r>
  <r>
    <x v="476"/>
  </r>
  <r>
    <x v="383"/>
  </r>
  <r>
    <x v="383"/>
  </r>
  <r>
    <x v="336"/>
  </r>
  <r>
    <x v="336"/>
  </r>
  <r>
    <x v="336"/>
  </r>
  <r>
    <x v="336"/>
  </r>
  <r>
    <x v="336"/>
  </r>
  <r>
    <x v="336"/>
  </r>
  <r>
    <x v="125"/>
  </r>
  <r>
    <x v="125"/>
  </r>
  <r>
    <x v="488"/>
  </r>
  <r>
    <x v="246"/>
  </r>
  <r>
    <x v="76"/>
  </r>
  <r>
    <x v="612"/>
  </r>
  <r>
    <x v="563"/>
  </r>
  <r>
    <x v="221"/>
  </r>
  <r>
    <x v="221"/>
  </r>
  <r>
    <x v="221"/>
  </r>
  <r>
    <x v="221"/>
  </r>
  <r>
    <x v="751"/>
  </r>
  <r>
    <x v="719"/>
  </r>
  <r>
    <x v="325"/>
  </r>
  <r>
    <x v="325"/>
  </r>
  <r>
    <x v="107"/>
  </r>
  <r>
    <x v="107"/>
  </r>
  <r>
    <x v="107"/>
  </r>
  <r>
    <x v="16"/>
  </r>
  <r>
    <x v="16"/>
  </r>
  <r>
    <x v="16"/>
  </r>
  <r>
    <x v="266"/>
  </r>
  <r>
    <x v="266"/>
  </r>
  <r>
    <x v="266"/>
  </r>
  <r>
    <x v="266"/>
  </r>
  <r>
    <x v="132"/>
  </r>
  <r>
    <x v="2"/>
  </r>
  <r>
    <x v="2"/>
  </r>
  <r>
    <x v="355"/>
  </r>
  <r>
    <x v="24"/>
  </r>
  <r>
    <x v="24"/>
  </r>
  <r>
    <x v="104"/>
  </r>
  <r>
    <x v="500"/>
  </r>
  <r>
    <x v="500"/>
  </r>
  <r>
    <x v="500"/>
  </r>
  <r>
    <x v="500"/>
  </r>
  <r>
    <x v="500"/>
  </r>
  <r>
    <x v="500"/>
  </r>
  <r>
    <x v="546"/>
  </r>
  <r>
    <x v="671"/>
  </r>
  <r>
    <x v="278"/>
  </r>
  <r>
    <x v="44"/>
  </r>
  <r>
    <x v="29"/>
  </r>
  <r>
    <x v="406"/>
  </r>
  <r>
    <x v="406"/>
  </r>
  <r>
    <x v="406"/>
  </r>
  <r>
    <x v="406"/>
  </r>
  <r>
    <x v="292"/>
  </r>
  <r>
    <x v="292"/>
  </r>
  <r>
    <x v="343"/>
  </r>
  <r>
    <x v="343"/>
  </r>
  <r>
    <x v="343"/>
  </r>
  <r>
    <x v="286"/>
  </r>
  <r>
    <x v="286"/>
  </r>
  <r>
    <x v="286"/>
  </r>
  <r>
    <x v="20"/>
  </r>
  <r>
    <x v="397"/>
  </r>
  <r>
    <x v="13"/>
  </r>
  <r>
    <x v="13"/>
  </r>
  <r>
    <x v="720"/>
  </r>
  <r>
    <x v="496"/>
  </r>
  <r>
    <x v="496"/>
  </r>
  <r>
    <x v="496"/>
  </r>
  <r>
    <x v="551"/>
  </r>
  <r>
    <x v="622"/>
  </r>
  <r>
    <x v="622"/>
  </r>
  <r>
    <x v="622"/>
  </r>
  <r>
    <x v="622"/>
  </r>
  <r>
    <x v="623"/>
  </r>
  <r>
    <x v="727"/>
  </r>
  <r>
    <x v="541"/>
  </r>
  <r>
    <x v="541"/>
  </r>
  <r>
    <x v="366"/>
  </r>
  <r>
    <x v="366"/>
  </r>
  <r>
    <x v="100"/>
  </r>
  <r>
    <x v="515"/>
  </r>
  <r>
    <x v="515"/>
  </r>
  <r>
    <x v="643"/>
  </r>
  <r>
    <x v="643"/>
  </r>
  <r>
    <x v="643"/>
  </r>
  <r>
    <x v="643"/>
  </r>
  <r>
    <x v="139"/>
  </r>
  <r>
    <x v="139"/>
  </r>
  <r>
    <x v="64"/>
  </r>
  <r>
    <x v="64"/>
  </r>
  <r>
    <x v="145"/>
  </r>
  <r>
    <x v="145"/>
  </r>
  <r>
    <x v="53"/>
  </r>
  <r>
    <x v="127"/>
  </r>
  <r>
    <x v="127"/>
  </r>
  <r>
    <x v="747"/>
  </r>
  <r>
    <x v="747"/>
  </r>
  <r>
    <x v="137"/>
  </r>
  <r>
    <x v="546"/>
  </r>
  <r>
    <x v="546"/>
  </r>
  <r>
    <x v="760"/>
  </r>
  <r>
    <x v="760"/>
  </r>
  <r>
    <x v="760"/>
  </r>
  <r>
    <x v="350"/>
  </r>
  <r>
    <x v="372"/>
  </r>
  <r>
    <x v="474"/>
  </r>
  <r>
    <x v="672"/>
  </r>
  <r>
    <x v="672"/>
  </r>
  <r>
    <x v="651"/>
  </r>
  <r>
    <x v="73"/>
  </r>
  <r>
    <x v="73"/>
  </r>
  <r>
    <x v="571"/>
  </r>
  <r>
    <x v="741"/>
  </r>
  <r>
    <x v="741"/>
  </r>
  <r>
    <x v="741"/>
  </r>
  <r>
    <x v="741"/>
  </r>
  <r>
    <x v="265"/>
  </r>
  <r>
    <x v="708"/>
  </r>
  <r>
    <x v="708"/>
  </r>
  <r>
    <x v="186"/>
  </r>
  <r>
    <x v="186"/>
  </r>
  <r>
    <x v="327"/>
  </r>
  <r>
    <x v="327"/>
  </r>
  <r>
    <x v="453"/>
  </r>
  <r>
    <x v="453"/>
  </r>
  <r>
    <x v="632"/>
  </r>
  <r>
    <x v="632"/>
  </r>
  <r>
    <x v="335"/>
  </r>
  <r>
    <x v="423"/>
  </r>
  <r>
    <x v="423"/>
  </r>
  <r>
    <x v="49"/>
  </r>
  <r>
    <x v="49"/>
  </r>
  <r>
    <x v="49"/>
  </r>
  <r>
    <x v="361"/>
  </r>
  <r>
    <x v="624"/>
  </r>
  <r>
    <x v="624"/>
  </r>
  <r>
    <x v="624"/>
  </r>
  <r>
    <x v="624"/>
  </r>
  <r>
    <x v="582"/>
  </r>
  <r>
    <x v="582"/>
  </r>
  <r>
    <x v="582"/>
  </r>
  <r>
    <x v="202"/>
  </r>
  <r>
    <x v="202"/>
  </r>
  <r>
    <x v="202"/>
  </r>
  <r>
    <x v="202"/>
  </r>
  <r>
    <x v="571"/>
  </r>
  <r>
    <x v="675"/>
  </r>
  <r>
    <x v="675"/>
  </r>
  <r>
    <x v="212"/>
  </r>
  <r>
    <x v="199"/>
  </r>
  <r>
    <x v="199"/>
  </r>
  <r>
    <x v="199"/>
  </r>
  <r>
    <x v="199"/>
  </r>
  <r>
    <x v="199"/>
  </r>
  <r>
    <x v="199"/>
  </r>
  <r>
    <x v="199"/>
  </r>
  <r>
    <x v="199"/>
  </r>
  <r>
    <x v="199"/>
  </r>
  <r>
    <x v="199"/>
  </r>
  <r>
    <x v="672"/>
  </r>
  <r>
    <x v="68"/>
  </r>
  <r>
    <x v="68"/>
  </r>
  <r>
    <x v="622"/>
  </r>
  <r>
    <x v="512"/>
  </r>
  <r>
    <x v="751"/>
  </r>
  <r>
    <x v="751"/>
  </r>
  <r>
    <x v="514"/>
  </r>
  <r>
    <x v="514"/>
  </r>
  <r>
    <x v="475"/>
  </r>
  <r>
    <x v="288"/>
  </r>
  <r>
    <x v="435"/>
  </r>
  <r>
    <x v="435"/>
  </r>
  <r>
    <x v="234"/>
  </r>
  <r>
    <x v="763"/>
  </r>
  <r>
    <x v="763"/>
  </r>
  <r>
    <x v="763"/>
  </r>
  <r>
    <x v="106"/>
  </r>
  <r>
    <x v="174"/>
  </r>
  <r>
    <x v="174"/>
  </r>
  <r>
    <x v="694"/>
  </r>
  <r>
    <x v="694"/>
  </r>
  <r>
    <x v="399"/>
  </r>
  <r>
    <x v="14"/>
  </r>
  <r>
    <x v="99"/>
  </r>
  <r>
    <x v="99"/>
  </r>
  <r>
    <x v="350"/>
  </r>
  <r>
    <x v="684"/>
  </r>
  <r>
    <x v="700"/>
  </r>
  <r>
    <x v="555"/>
  </r>
  <r>
    <x v="481"/>
  </r>
  <r>
    <x v="481"/>
  </r>
  <r>
    <x v="481"/>
  </r>
  <r>
    <x v="9"/>
  </r>
  <r>
    <x v="9"/>
  </r>
  <r>
    <x v="9"/>
  </r>
  <r>
    <x v="226"/>
  </r>
  <r>
    <x v="226"/>
  </r>
  <r>
    <x v="487"/>
  </r>
  <r>
    <x v="638"/>
  </r>
  <r>
    <x v="638"/>
  </r>
  <r>
    <x v="638"/>
  </r>
  <r>
    <x v="649"/>
  </r>
  <r>
    <x v="469"/>
  </r>
  <r>
    <x v="469"/>
  </r>
  <r>
    <x v="511"/>
  </r>
  <r>
    <x v="511"/>
  </r>
  <r>
    <x v="511"/>
  </r>
  <r>
    <x v="511"/>
  </r>
  <r>
    <x v="308"/>
  </r>
  <r>
    <x v="26"/>
  </r>
  <r>
    <x v="26"/>
  </r>
  <r>
    <x v="633"/>
  </r>
  <r>
    <x v="633"/>
  </r>
  <r>
    <x v="64"/>
  </r>
  <r>
    <x v="684"/>
  </r>
  <r>
    <x v="684"/>
  </r>
  <r>
    <x v="584"/>
  </r>
  <r>
    <x v="136"/>
  </r>
  <r>
    <x v="129"/>
  </r>
  <r>
    <x v="129"/>
  </r>
  <r>
    <x v="129"/>
  </r>
  <r>
    <x v="129"/>
  </r>
  <r>
    <x v="129"/>
  </r>
  <r>
    <x v="76"/>
  </r>
  <r>
    <x v="76"/>
  </r>
  <r>
    <x v="276"/>
  </r>
  <r>
    <x v="647"/>
  </r>
  <r>
    <x v="631"/>
  </r>
  <r>
    <x v="562"/>
  </r>
  <r>
    <x v="562"/>
  </r>
  <r>
    <x v="517"/>
  </r>
  <r>
    <x v="482"/>
  </r>
  <r>
    <x v="482"/>
  </r>
  <r>
    <x v="326"/>
  </r>
  <r>
    <x v="629"/>
  </r>
  <r>
    <x v="381"/>
  </r>
  <r>
    <x v="461"/>
  </r>
  <r>
    <x v="436"/>
  </r>
  <r>
    <x v="10"/>
  </r>
  <r>
    <x v="70"/>
  </r>
  <r>
    <x v="361"/>
  </r>
  <r>
    <x v="361"/>
  </r>
  <r>
    <x v="254"/>
  </r>
  <r>
    <x v="254"/>
  </r>
  <r>
    <x v="277"/>
  </r>
  <r>
    <x v="277"/>
  </r>
  <r>
    <x v="507"/>
  </r>
  <r>
    <x v="762"/>
  </r>
  <r>
    <x v="762"/>
  </r>
  <r>
    <x v="748"/>
  </r>
  <r>
    <x v="179"/>
  </r>
  <r>
    <x v="179"/>
  </r>
  <r>
    <x v="179"/>
  </r>
  <r>
    <x v="679"/>
  </r>
  <r>
    <x v="679"/>
  </r>
  <r>
    <x v="500"/>
  </r>
  <r>
    <x v="174"/>
  </r>
  <r>
    <x v="174"/>
  </r>
  <r>
    <x v="615"/>
  </r>
  <r>
    <x v="750"/>
  </r>
  <r>
    <x v="750"/>
  </r>
  <r>
    <x v="157"/>
  </r>
  <r>
    <x v="157"/>
  </r>
  <r>
    <x v="131"/>
  </r>
  <r>
    <x v="521"/>
  </r>
  <r>
    <x v="150"/>
  </r>
  <r>
    <x v="150"/>
  </r>
  <r>
    <x v="579"/>
  </r>
  <r>
    <x v="62"/>
  </r>
  <r>
    <x v="124"/>
  </r>
  <r>
    <x v="124"/>
  </r>
  <r>
    <x v="621"/>
  </r>
  <r>
    <x v="571"/>
  </r>
  <r>
    <x v="571"/>
  </r>
  <r>
    <x v="571"/>
  </r>
  <r>
    <x v="571"/>
  </r>
  <r>
    <x v="578"/>
  </r>
  <r>
    <x v="578"/>
  </r>
  <r>
    <x v="578"/>
  </r>
  <r>
    <x v="322"/>
  </r>
  <r>
    <x v="275"/>
  </r>
  <r>
    <x v="275"/>
  </r>
  <r>
    <x v="275"/>
  </r>
  <r>
    <x v="275"/>
  </r>
  <r>
    <x v="275"/>
  </r>
  <r>
    <x v="275"/>
  </r>
  <r>
    <x v="275"/>
  </r>
  <r>
    <x v="40"/>
  </r>
  <r>
    <x v="40"/>
  </r>
  <r>
    <x v="562"/>
  </r>
  <r>
    <x v="188"/>
  </r>
  <r>
    <x v="188"/>
  </r>
  <r>
    <x v="188"/>
  </r>
  <r>
    <x v="345"/>
  </r>
  <r>
    <x v="250"/>
  </r>
  <r>
    <x v="250"/>
  </r>
  <r>
    <x v="250"/>
  </r>
  <r>
    <x v="250"/>
  </r>
  <r>
    <x v="360"/>
  </r>
  <r>
    <x v="451"/>
  </r>
  <r>
    <x v="59"/>
  </r>
  <r>
    <x v="382"/>
  </r>
  <r>
    <x v="382"/>
  </r>
  <r>
    <x v="719"/>
  </r>
  <r>
    <x v="312"/>
  </r>
  <r>
    <x v="291"/>
  </r>
  <r>
    <x v="661"/>
  </r>
  <r>
    <x v="229"/>
  </r>
  <r>
    <x v="229"/>
  </r>
  <r>
    <x v="22"/>
  </r>
  <r>
    <x v="637"/>
  </r>
  <r>
    <x v="570"/>
  </r>
  <r>
    <x v="255"/>
  </r>
  <r>
    <x v="519"/>
  </r>
  <r>
    <x v="519"/>
  </r>
  <r>
    <x v="519"/>
  </r>
  <r>
    <x v="539"/>
  </r>
  <r>
    <x v="441"/>
  </r>
  <r>
    <x v="442"/>
  </r>
  <r>
    <x v="505"/>
  </r>
  <r>
    <x v="605"/>
  </r>
  <r>
    <x v="193"/>
  </r>
  <r>
    <x v="280"/>
  </r>
  <r>
    <x v="393"/>
  </r>
  <r>
    <x v="393"/>
  </r>
  <r>
    <x v="193"/>
  </r>
  <r>
    <x v="459"/>
  </r>
  <r>
    <x v="459"/>
  </r>
  <r>
    <x v="295"/>
  </r>
  <r>
    <x v="295"/>
  </r>
  <r>
    <x v="676"/>
  </r>
  <r>
    <x v="760"/>
  </r>
  <r>
    <x v="498"/>
  </r>
  <r>
    <x v="498"/>
  </r>
  <r>
    <x v="498"/>
  </r>
  <r>
    <x v="498"/>
  </r>
  <r>
    <x v="498"/>
  </r>
  <r>
    <x v="19"/>
  </r>
  <r>
    <x v="185"/>
  </r>
  <r>
    <x v="609"/>
  </r>
  <r>
    <x v="474"/>
  </r>
  <r>
    <x v="474"/>
  </r>
  <r>
    <x v="474"/>
  </r>
  <r>
    <x v="474"/>
  </r>
  <r>
    <x v="541"/>
  </r>
  <r>
    <x v="108"/>
  </r>
  <r>
    <x v="108"/>
  </r>
  <r>
    <x v="108"/>
  </r>
  <r>
    <x v="7"/>
  </r>
  <r>
    <x v="123"/>
  </r>
  <r>
    <x v="123"/>
  </r>
  <r>
    <x v="657"/>
  </r>
  <r>
    <x v="162"/>
  </r>
  <r>
    <x v="162"/>
  </r>
  <r>
    <x v="162"/>
  </r>
  <r>
    <x v="162"/>
  </r>
  <r>
    <x v="560"/>
  </r>
  <r>
    <x v="729"/>
  </r>
  <r>
    <x v="204"/>
  </r>
  <r>
    <x v="299"/>
  </r>
  <r>
    <x v="260"/>
  </r>
  <r>
    <x v="620"/>
  </r>
  <r>
    <x v="264"/>
  </r>
  <r>
    <x v="725"/>
  </r>
  <r>
    <x v="440"/>
  </r>
  <r>
    <x v="634"/>
  </r>
  <r>
    <x v="457"/>
  </r>
  <r>
    <x v="457"/>
  </r>
  <r>
    <x v="713"/>
  </r>
  <r>
    <x v="713"/>
  </r>
  <r>
    <x v="732"/>
  </r>
  <r>
    <x v="732"/>
  </r>
  <r>
    <x v="369"/>
  </r>
  <r>
    <x v="369"/>
  </r>
  <r>
    <x v="369"/>
  </r>
  <r>
    <x v="494"/>
  </r>
  <r>
    <x v="494"/>
  </r>
  <r>
    <x v="287"/>
  </r>
  <r>
    <x v="287"/>
  </r>
  <r>
    <x v="164"/>
  </r>
  <r>
    <x v="164"/>
  </r>
  <r>
    <x v="164"/>
  </r>
  <r>
    <x v="164"/>
  </r>
  <r>
    <x v="164"/>
  </r>
  <r>
    <x v="164"/>
  </r>
  <r>
    <x v="164"/>
  </r>
  <r>
    <x v="479"/>
  </r>
  <r>
    <x v="479"/>
  </r>
  <r>
    <x v="454"/>
  </r>
  <r>
    <x v="454"/>
  </r>
  <r>
    <x v="454"/>
  </r>
  <r>
    <x v="454"/>
  </r>
  <r>
    <x v="454"/>
  </r>
  <r>
    <x v="620"/>
  </r>
  <r>
    <x v="620"/>
  </r>
  <r>
    <x v="620"/>
  </r>
  <r>
    <x v="620"/>
  </r>
  <r>
    <x v="620"/>
  </r>
  <r>
    <x v="85"/>
  </r>
  <r>
    <x v="180"/>
  </r>
  <r>
    <x v="180"/>
  </r>
  <r>
    <x v="180"/>
  </r>
  <r>
    <x v="180"/>
  </r>
  <r>
    <x v="180"/>
  </r>
  <r>
    <x v="180"/>
  </r>
  <r>
    <x v="203"/>
  </r>
  <r>
    <x v="203"/>
  </r>
  <r>
    <x v="737"/>
  </r>
  <r>
    <x v="715"/>
  </r>
  <r>
    <x v="715"/>
  </r>
  <r>
    <x v="715"/>
  </r>
  <r>
    <x v="715"/>
  </r>
  <r>
    <x v="33"/>
  </r>
  <r>
    <x v="33"/>
  </r>
  <r>
    <x v="33"/>
  </r>
  <r>
    <x v="33"/>
  </r>
  <r>
    <x v="33"/>
  </r>
  <r>
    <x v="33"/>
  </r>
  <r>
    <x v="87"/>
  </r>
  <r>
    <x v="87"/>
  </r>
  <r>
    <x v="87"/>
  </r>
  <r>
    <x v="555"/>
  </r>
  <r>
    <x v="646"/>
  </r>
  <r>
    <x v="588"/>
  </r>
  <r>
    <x v="658"/>
  </r>
  <r>
    <x v="658"/>
  </r>
  <r>
    <x v="245"/>
  </r>
  <r>
    <x v="245"/>
  </r>
  <r>
    <x v="287"/>
  </r>
  <r>
    <x v="321"/>
  </r>
  <r>
    <x v="250"/>
  </r>
  <r>
    <x v="250"/>
  </r>
  <r>
    <x v="250"/>
  </r>
  <r>
    <x v="55"/>
  </r>
  <r>
    <x v="55"/>
  </r>
  <r>
    <x v="55"/>
  </r>
  <r>
    <x v="597"/>
  </r>
  <r>
    <x v="607"/>
  </r>
  <r>
    <x v="168"/>
  </r>
  <r>
    <x v="521"/>
  </r>
  <r>
    <x v="521"/>
  </r>
  <r>
    <x v="521"/>
  </r>
  <r>
    <x v="521"/>
  </r>
  <r>
    <x v="685"/>
  </r>
  <r>
    <x v="264"/>
  </r>
  <r>
    <x v="168"/>
  </r>
  <r>
    <x v="773"/>
  </r>
  <r>
    <x v="743"/>
  </r>
  <r>
    <x v="197"/>
  </r>
  <r>
    <x v="285"/>
  </r>
  <r>
    <x v="285"/>
  </r>
  <r>
    <x v="285"/>
  </r>
  <r>
    <x v="60"/>
  </r>
  <r>
    <x v="453"/>
  </r>
  <r>
    <x v="246"/>
  </r>
  <r>
    <x v="246"/>
  </r>
  <r>
    <x v="246"/>
  </r>
  <r>
    <x v="246"/>
  </r>
  <r>
    <x v="64"/>
  </r>
  <r>
    <x v="64"/>
  </r>
  <r>
    <x v="725"/>
  </r>
  <r>
    <x v="34"/>
  </r>
  <r>
    <x v="493"/>
  </r>
  <r>
    <x v="493"/>
  </r>
  <r>
    <x v="493"/>
  </r>
  <r>
    <x v="50"/>
  </r>
  <r>
    <x v="252"/>
  </r>
  <r>
    <x v="252"/>
  </r>
  <r>
    <x v="314"/>
  </r>
  <r>
    <x v="197"/>
  </r>
  <r>
    <x v="197"/>
  </r>
  <r>
    <x v="651"/>
  </r>
  <r>
    <x v="331"/>
  </r>
  <r>
    <x v="359"/>
  </r>
  <r>
    <x v="341"/>
  </r>
  <r>
    <x v="65"/>
  </r>
  <r>
    <x v="617"/>
  </r>
  <r>
    <x v="244"/>
  </r>
  <r>
    <x v="244"/>
  </r>
  <r>
    <x v="346"/>
  </r>
  <r>
    <x v="205"/>
  </r>
  <r>
    <x v="346"/>
  </r>
  <r>
    <x v="346"/>
  </r>
  <r>
    <x v="346"/>
  </r>
  <r>
    <x v="346"/>
  </r>
  <r>
    <x v="657"/>
  </r>
  <r>
    <x v="657"/>
  </r>
  <r>
    <x v="104"/>
  </r>
  <r>
    <x v="104"/>
  </r>
  <r>
    <x v="104"/>
  </r>
  <r>
    <x v="104"/>
  </r>
  <r>
    <x v="104"/>
  </r>
  <r>
    <x v="756"/>
  </r>
  <r>
    <x v="756"/>
  </r>
  <r>
    <x v="190"/>
  </r>
  <r>
    <x v="190"/>
  </r>
  <r>
    <x v="190"/>
  </r>
  <r>
    <x v="190"/>
  </r>
  <r>
    <x v="436"/>
  </r>
  <r>
    <x v="287"/>
  </r>
  <r>
    <x v="268"/>
  </r>
  <r>
    <x v="668"/>
  </r>
  <r>
    <x v="140"/>
  </r>
  <r>
    <x v="140"/>
  </r>
  <r>
    <x v="682"/>
  </r>
  <r>
    <x v="564"/>
  </r>
  <r>
    <x v="80"/>
  </r>
  <r>
    <x v="150"/>
  </r>
  <r>
    <x v="150"/>
  </r>
  <r>
    <x v="530"/>
  </r>
  <r>
    <x v="649"/>
  </r>
  <r>
    <x v="104"/>
  </r>
  <r>
    <x v="251"/>
  </r>
  <r>
    <x v="698"/>
  </r>
  <r>
    <x v="698"/>
  </r>
  <r>
    <x v="698"/>
  </r>
  <r>
    <x v="698"/>
  </r>
  <r>
    <x v="472"/>
  </r>
  <r>
    <x v="307"/>
  </r>
  <r>
    <x v="307"/>
  </r>
  <r>
    <x v="599"/>
  </r>
  <r>
    <x v="21"/>
  </r>
  <r>
    <x v="68"/>
  </r>
  <r>
    <x v="68"/>
  </r>
  <r>
    <x v="582"/>
  </r>
  <r>
    <x v="766"/>
  </r>
  <r>
    <x v="766"/>
  </r>
  <r>
    <x v="766"/>
  </r>
  <r>
    <x v="766"/>
  </r>
  <r>
    <x v="358"/>
  </r>
  <r>
    <x v="358"/>
  </r>
  <r>
    <x v="358"/>
  </r>
  <r>
    <x v="358"/>
  </r>
  <r>
    <x v="358"/>
  </r>
  <r>
    <x v="21"/>
  </r>
  <r>
    <x v="21"/>
  </r>
  <r>
    <x v="21"/>
  </r>
  <r>
    <x v="21"/>
  </r>
  <r>
    <x v="21"/>
  </r>
  <r>
    <x v="21"/>
  </r>
  <r>
    <x v="21"/>
  </r>
  <r>
    <x v="225"/>
  </r>
  <r>
    <x v="262"/>
  </r>
  <r>
    <x v="262"/>
  </r>
  <r>
    <x v="425"/>
  </r>
  <r>
    <x v="425"/>
  </r>
  <r>
    <x v="554"/>
  </r>
  <r>
    <x v="756"/>
  </r>
  <r>
    <x v="384"/>
  </r>
  <r>
    <x v="426"/>
  </r>
  <r>
    <x v="609"/>
  </r>
  <r>
    <x v="609"/>
  </r>
  <r>
    <x v="609"/>
  </r>
  <r>
    <x v="609"/>
  </r>
  <r>
    <x v="609"/>
  </r>
  <r>
    <x v="609"/>
  </r>
  <r>
    <x v="591"/>
  </r>
  <r>
    <x v="249"/>
  </r>
  <r>
    <x v="249"/>
  </r>
  <r>
    <x v="249"/>
  </r>
  <r>
    <x v="727"/>
  </r>
  <r>
    <x v="727"/>
  </r>
  <r>
    <x v="727"/>
  </r>
  <r>
    <x v="204"/>
  </r>
  <r>
    <x v="533"/>
  </r>
  <r>
    <x v="533"/>
  </r>
  <r>
    <x v="431"/>
  </r>
  <r>
    <x v="756"/>
  </r>
  <r>
    <x v="287"/>
  </r>
  <r>
    <x v="287"/>
  </r>
  <r>
    <x v="287"/>
  </r>
  <r>
    <x v="287"/>
  </r>
  <r>
    <x v="287"/>
  </r>
  <r>
    <x v="415"/>
  </r>
  <r>
    <x v="415"/>
  </r>
  <r>
    <x v="415"/>
  </r>
  <r>
    <x v="343"/>
  </r>
  <r>
    <x v="438"/>
  </r>
  <r>
    <x v="377"/>
  </r>
  <r>
    <x v="564"/>
  </r>
  <r>
    <x v="564"/>
  </r>
  <r>
    <x v="564"/>
  </r>
  <r>
    <x v="395"/>
  </r>
  <r>
    <x v="395"/>
  </r>
  <r>
    <x v="395"/>
  </r>
  <r>
    <x v="471"/>
  </r>
  <r>
    <x v="471"/>
  </r>
  <r>
    <x v="254"/>
  </r>
  <r>
    <x v="254"/>
  </r>
  <r>
    <x v="254"/>
  </r>
  <r>
    <x v="254"/>
  </r>
  <r>
    <x v="576"/>
  </r>
  <r>
    <x v="655"/>
  </r>
  <r>
    <x v="673"/>
  </r>
  <r>
    <x v="673"/>
  </r>
  <r>
    <x v="673"/>
  </r>
  <r>
    <x v="673"/>
  </r>
  <r>
    <x v="595"/>
  </r>
  <r>
    <x v="491"/>
  </r>
  <r>
    <x v="204"/>
  </r>
  <r>
    <x v="577"/>
  </r>
  <r>
    <x v="415"/>
  </r>
  <r>
    <x v="399"/>
  </r>
  <r>
    <x v="399"/>
  </r>
  <r>
    <x v="399"/>
  </r>
  <r>
    <x v="399"/>
  </r>
  <r>
    <x v="399"/>
  </r>
  <r>
    <x v="283"/>
  </r>
  <r>
    <x v="283"/>
  </r>
  <r>
    <x v="44"/>
  </r>
  <r>
    <x v="437"/>
  </r>
  <r>
    <x v="704"/>
  </r>
  <r>
    <x v="704"/>
  </r>
  <r>
    <x v="413"/>
  </r>
  <r>
    <x v="593"/>
  </r>
  <r>
    <x v="593"/>
  </r>
  <r>
    <x v="684"/>
  </r>
  <r>
    <x v="684"/>
  </r>
  <r>
    <x v="587"/>
  </r>
  <r>
    <x v="192"/>
  </r>
  <r>
    <x v="192"/>
  </r>
  <r>
    <x v="367"/>
  </r>
  <r>
    <x v="367"/>
  </r>
  <r>
    <x v="367"/>
  </r>
  <r>
    <x v="367"/>
  </r>
  <r>
    <x v="367"/>
  </r>
  <r>
    <x v="367"/>
  </r>
  <r>
    <x v="367"/>
  </r>
  <r>
    <x v="367"/>
  </r>
  <r>
    <x v="367"/>
  </r>
  <r>
    <x v="282"/>
  </r>
  <r>
    <x v="666"/>
  </r>
  <r>
    <x v="666"/>
  </r>
  <r>
    <x v="562"/>
  </r>
  <r>
    <x v="562"/>
  </r>
  <r>
    <x v="170"/>
  </r>
  <r>
    <x v="170"/>
  </r>
  <r>
    <x v="170"/>
  </r>
  <r>
    <x v="170"/>
  </r>
  <r>
    <x v="170"/>
  </r>
  <r>
    <x v="170"/>
  </r>
  <r>
    <x v="170"/>
  </r>
  <r>
    <x v="151"/>
  </r>
  <r>
    <x v="644"/>
  </r>
  <r>
    <x v="9"/>
  </r>
  <r>
    <x v="48"/>
  </r>
  <r>
    <x v="48"/>
  </r>
  <r>
    <x v="72"/>
  </r>
  <r>
    <x v="72"/>
  </r>
  <r>
    <x v="741"/>
  </r>
  <r>
    <x v="741"/>
  </r>
  <r>
    <x v="653"/>
  </r>
  <r>
    <x v="653"/>
  </r>
  <r>
    <x v="437"/>
  </r>
  <r>
    <x v="328"/>
  </r>
  <r>
    <x v="162"/>
  </r>
  <r>
    <x v="162"/>
  </r>
  <r>
    <x v="615"/>
  </r>
  <r>
    <x v="615"/>
  </r>
  <r>
    <x v="615"/>
  </r>
  <r>
    <x v="615"/>
  </r>
  <r>
    <x v="615"/>
  </r>
  <r>
    <x v="615"/>
  </r>
  <r>
    <x v="269"/>
  </r>
  <r>
    <x v="269"/>
  </r>
  <r>
    <x v="269"/>
  </r>
  <r>
    <x v="756"/>
  </r>
  <r>
    <x v="774"/>
  </r>
  <r>
    <x v="102"/>
  </r>
  <r>
    <x v="102"/>
  </r>
  <r>
    <x v="102"/>
  </r>
  <r>
    <x v="136"/>
  </r>
  <r>
    <x v="136"/>
  </r>
  <r>
    <x v="136"/>
  </r>
  <r>
    <x v="136"/>
  </r>
  <r>
    <x v="136"/>
  </r>
  <r>
    <x v="530"/>
  </r>
  <r>
    <x v="530"/>
  </r>
  <r>
    <x v="530"/>
  </r>
  <r>
    <x v="530"/>
  </r>
  <r>
    <x v="530"/>
  </r>
  <r>
    <x v="233"/>
  </r>
  <r>
    <x v="233"/>
  </r>
  <r>
    <x v="153"/>
  </r>
  <r>
    <x v="365"/>
  </r>
  <r>
    <x v="106"/>
  </r>
  <r>
    <x v="775"/>
  </r>
  <r>
    <x v="684"/>
  </r>
  <r>
    <x v="162"/>
  </r>
  <r>
    <x v="38"/>
  </r>
  <r>
    <x v="38"/>
  </r>
  <r>
    <x v="38"/>
  </r>
  <r>
    <x v="38"/>
  </r>
  <r>
    <x v="324"/>
  </r>
  <r>
    <x v="619"/>
  </r>
  <r>
    <x v="619"/>
  </r>
  <r>
    <x v="675"/>
  </r>
  <r>
    <x v="158"/>
  </r>
  <r>
    <x v="158"/>
  </r>
  <r>
    <x v="158"/>
  </r>
  <r>
    <x v="776"/>
  </r>
  <r>
    <x v="708"/>
  </r>
  <r>
    <x v="337"/>
  </r>
  <r>
    <x v="337"/>
  </r>
  <r>
    <x v="632"/>
  </r>
  <r>
    <x v="632"/>
  </r>
  <r>
    <x v="632"/>
  </r>
  <r>
    <x v="560"/>
  </r>
  <r>
    <x v="176"/>
  </r>
  <r>
    <x v="176"/>
  </r>
  <r>
    <x v="361"/>
  </r>
  <r>
    <x v="0"/>
  </r>
  <r>
    <x v="0"/>
  </r>
  <r>
    <x v="660"/>
  </r>
  <r>
    <x v="614"/>
  </r>
  <r>
    <x v="614"/>
  </r>
  <r>
    <x v="123"/>
  </r>
  <r>
    <x v="402"/>
  </r>
  <r>
    <x v="131"/>
  </r>
  <r>
    <x v="24"/>
  </r>
  <r>
    <x v="389"/>
  </r>
  <r>
    <x v="497"/>
  </r>
  <r>
    <x v="497"/>
  </r>
  <r>
    <x v="631"/>
  </r>
  <r>
    <x v="299"/>
  </r>
  <r>
    <x v="188"/>
  </r>
  <r>
    <x v="188"/>
  </r>
  <r>
    <x v="188"/>
  </r>
  <r>
    <x v="188"/>
  </r>
  <r>
    <x v="191"/>
  </r>
  <r>
    <x v="492"/>
  </r>
  <r>
    <x v="492"/>
  </r>
  <r>
    <x v="63"/>
  </r>
  <r>
    <x v="385"/>
  </r>
  <r>
    <x v="190"/>
  </r>
  <r>
    <x v="737"/>
  </r>
  <r>
    <x v="724"/>
  </r>
  <r>
    <x v="724"/>
  </r>
  <r>
    <x v="724"/>
  </r>
  <r>
    <x v="281"/>
  </r>
  <r>
    <x v="281"/>
  </r>
  <r>
    <x v="281"/>
  </r>
  <r>
    <x v="281"/>
  </r>
  <r>
    <x v="281"/>
  </r>
  <r>
    <x v="281"/>
  </r>
  <r>
    <x v="281"/>
  </r>
  <r>
    <x v="281"/>
  </r>
  <r>
    <x v="70"/>
  </r>
  <r>
    <x v="70"/>
  </r>
  <r>
    <x v="676"/>
  </r>
  <r>
    <x v="235"/>
  </r>
  <r>
    <x v="11"/>
  </r>
  <r>
    <x v="11"/>
  </r>
  <r>
    <x v="362"/>
  </r>
  <r>
    <x v="608"/>
  </r>
  <r>
    <x v="608"/>
  </r>
  <r>
    <x v="327"/>
  </r>
  <r>
    <x v="327"/>
  </r>
  <r>
    <x v="327"/>
  </r>
  <r>
    <x v="327"/>
  </r>
  <r>
    <x v="156"/>
  </r>
  <r>
    <x v="156"/>
  </r>
  <r>
    <x v="156"/>
  </r>
  <r>
    <x v="17"/>
  </r>
  <r>
    <x v="17"/>
  </r>
  <r>
    <x v="17"/>
  </r>
  <r>
    <x v="302"/>
  </r>
  <r>
    <x v="302"/>
  </r>
  <r>
    <x v="302"/>
  </r>
  <r>
    <x v="15"/>
  </r>
  <r>
    <x v="91"/>
  </r>
  <r>
    <x v="373"/>
  </r>
  <r>
    <x v="410"/>
  </r>
  <r>
    <x v="410"/>
  </r>
  <r>
    <x v="410"/>
  </r>
  <r>
    <x v="688"/>
  </r>
  <r>
    <x v="645"/>
  </r>
  <r>
    <x v="491"/>
  </r>
  <r>
    <x v="491"/>
  </r>
  <r>
    <x v="74"/>
  </r>
  <r>
    <x v="74"/>
  </r>
  <r>
    <x v="74"/>
  </r>
  <r>
    <x v="310"/>
  </r>
  <r>
    <x v="310"/>
  </r>
  <r>
    <x v="310"/>
  </r>
  <r>
    <x v="30"/>
  </r>
  <r>
    <x v="488"/>
  </r>
  <r>
    <x v="495"/>
  </r>
  <r>
    <x v="735"/>
  </r>
  <r>
    <x v="735"/>
  </r>
  <r>
    <x v="735"/>
  </r>
  <r>
    <x v="122"/>
  </r>
  <r>
    <x v="617"/>
  </r>
  <r>
    <x v="617"/>
  </r>
  <r>
    <x v="617"/>
  </r>
  <r>
    <x v="617"/>
  </r>
  <r>
    <x v="617"/>
  </r>
  <r>
    <x v="683"/>
  </r>
  <r>
    <x v="465"/>
  </r>
  <r>
    <x v="465"/>
  </r>
  <r>
    <x v="465"/>
  </r>
  <r>
    <x v="342"/>
  </r>
  <r>
    <x v="115"/>
  </r>
  <r>
    <x v="115"/>
  </r>
  <r>
    <x v="115"/>
  </r>
  <r>
    <x v="115"/>
  </r>
  <r>
    <x v="538"/>
  </r>
  <r>
    <x v="538"/>
  </r>
  <r>
    <x v="777"/>
  </r>
  <r>
    <x v="777"/>
  </r>
  <r>
    <x v="777"/>
  </r>
  <r>
    <x v="777"/>
  </r>
  <r>
    <x v="777"/>
  </r>
  <r>
    <x v="777"/>
  </r>
  <r>
    <x v="778"/>
  </r>
  <r>
    <x v="208"/>
  </r>
  <r>
    <x v="569"/>
  </r>
  <r>
    <x v="569"/>
  </r>
  <r>
    <x v="569"/>
  </r>
  <r>
    <x v="482"/>
  </r>
  <r>
    <x v="174"/>
  </r>
  <r>
    <x v="683"/>
  </r>
  <r>
    <x v="683"/>
  </r>
  <r>
    <x v="748"/>
  </r>
  <r>
    <x v="528"/>
  </r>
  <r>
    <x v="90"/>
  </r>
  <r>
    <x v="90"/>
  </r>
  <r>
    <x v="90"/>
  </r>
  <r>
    <x v="631"/>
  </r>
  <r>
    <x v="455"/>
  </r>
  <r>
    <x v="455"/>
  </r>
  <r>
    <x v="287"/>
  </r>
  <r>
    <x v="653"/>
  </r>
  <r>
    <x v="653"/>
  </r>
  <r>
    <x v="653"/>
  </r>
  <r>
    <x v="106"/>
  </r>
  <r>
    <x v="106"/>
  </r>
  <r>
    <x v="106"/>
  </r>
  <r>
    <x v="144"/>
  </r>
  <r>
    <x v="294"/>
  </r>
  <r>
    <x v="231"/>
  </r>
  <r>
    <x v="231"/>
  </r>
  <r>
    <x v="231"/>
  </r>
  <r>
    <x v="231"/>
  </r>
  <r>
    <x v="498"/>
  </r>
  <r>
    <x v="189"/>
  </r>
  <r>
    <x v="205"/>
  </r>
  <r>
    <x v="78"/>
  </r>
  <r>
    <x v="208"/>
  </r>
  <r>
    <x v="33"/>
  </r>
  <r>
    <x v="33"/>
  </r>
  <r>
    <x v="281"/>
  </r>
  <r>
    <x v="389"/>
  </r>
  <r>
    <x v="389"/>
  </r>
  <r>
    <x v="389"/>
  </r>
  <r>
    <x v="389"/>
  </r>
  <r>
    <x v="480"/>
  </r>
  <r>
    <x v="480"/>
  </r>
  <r>
    <x v="583"/>
  </r>
  <r>
    <x v="668"/>
  </r>
  <r>
    <x v="274"/>
  </r>
  <r>
    <x v="274"/>
  </r>
  <r>
    <x v="593"/>
  </r>
  <r>
    <x v="221"/>
  </r>
  <r>
    <x v="221"/>
  </r>
  <r>
    <x v="752"/>
  </r>
  <r>
    <x v="92"/>
  </r>
  <r>
    <x v="92"/>
  </r>
  <r>
    <x v="92"/>
  </r>
  <r>
    <x v="92"/>
  </r>
  <r>
    <x v="779"/>
  </r>
  <r>
    <x v="8"/>
  </r>
  <r>
    <x v="211"/>
  </r>
  <r>
    <x v="211"/>
  </r>
  <r>
    <x v="211"/>
  </r>
  <r>
    <x v="211"/>
  </r>
  <r>
    <x v="171"/>
  </r>
  <r>
    <x v="171"/>
  </r>
  <r>
    <x v="171"/>
  </r>
  <r>
    <x v="171"/>
  </r>
  <r>
    <x v="171"/>
  </r>
  <r>
    <x v="317"/>
  </r>
  <r>
    <x v="108"/>
  </r>
  <r>
    <x v="622"/>
  </r>
  <r>
    <x v="206"/>
  </r>
  <r>
    <x v="206"/>
  </r>
  <r>
    <x v="206"/>
  </r>
  <r>
    <x v="206"/>
  </r>
  <r>
    <x v="333"/>
  </r>
  <r>
    <x v="264"/>
  </r>
  <r>
    <x v="264"/>
  </r>
  <r>
    <x v="247"/>
  </r>
  <r>
    <x v="156"/>
  </r>
  <r>
    <x v="319"/>
  </r>
  <r>
    <x v="373"/>
  </r>
  <r>
    <x v="373"/>
  </r>
  <r>
    <x v="30"/>
  </r>
  <r>
    <x v="522"/>
  </r>
  <r>
    <x v="522"/>
  </r>
  <r>
    <x v="522"/>
  </r>
  <r>
    <x v="67"/>
  </r>
  <r>
    <x v="67"/>
  </r>
  <r>
    <x v="67"/>
  </r>
  <r>
    <x v="67"/>
  </r>
  <r>
    <x v="104"/>
  </r>
  <r>
    <x v="104"/>
  </r>
  <r>
    <x v="162"/>
  </r>
  <r>
    <x v="162"/>
  </r>
  <r>
    <x v="162"/>
  </r>
  <r>
    <x v="162"/>
  </r>
  <r>
    <x v="470"/>
  </r>
  <r>
    <x v="575"/>
  </r>
  <r>
    <x v="575"/>
  </r>
  <r>
    <x v="575"/>
  </r>
  <r>
    <x v="435"/>
  </r>
  <r>
    <x v="435"/>
  </r>
  <r>
    <x v="435"/>
  </r>
  <r>
    <x v="435"/>
  </r>
  <r>
    <x v="35"/>
  </r>
  <r>
    <x v="35"/>
  </r>
  <r>
    <x v="35"/>
  </r>
  <r>
    <x v="509"/>
  </r>
  <r>
    <x v="509"/>
  </r>
  <r>
    <x v="509"/>
  </r>
  <r>
    <x v="464"/>
  </r>
  <r>
    <x v="203"/>
  </r>
  <r>
    <x v="168"/>
  </r>
  <r>
    <x v="168"/>
  </r>
  <r>
    <x v="709"/>
  </r>
  <r>
    <x v="709"/>
  </r>
  <r>
    <x v="709"/>
  </r>
  <r>
    <x v="709"/>
  </r>
  <r>
    <x v="709"/>
  </r>
  <r>
    <x v="740"/>
  </r>
  <r>
    <x v="740"/>
  </r>
  <r>
    <x v="685"/>
  </r>
  <r>
    <x v="685"/>
  </r>
  <r>
    <x v="13"/>
  </r>
  <r>
    <x v="13"/>
  </r>
  <r>
    <x v="95"/>
  </r>
  <r>
    <x v="310"/>
  </r>
  <r>
    <x v="310"/>
  </r>
  <r>
    <x v="310"/>
  </r>
  <r>
    <x v="310"/>
  </r>
  <r>
    <x v="383"/>
  </r>
  <r>
    <x v="383"/>
  </r>
  <r>
    <x v="383"/>
  </r>
  <r>
    <x v="383"/>
  </r>
  <r>
    <x v="383"/>
  </r>
  <r>
    <x v="383"/>
  </r>
  <r>
    <x v="227"/>
  </r>
  <r>
    <x v="272"/>
  </r>
  <r>
    <x v="388"/>
  </r>
  <r>
    <x v="576"/>
  </r>
  <r>
    <x v="780"/>
  </r>
  <r>
    <x v="780"/>
  </r>
  <r>
    <x v="780"/>
  </r>
  <r>
    <x v="780"/>
  </r>
  <r>
    <x v="229"/>
  </r>
  <r>
    <x v="229"/>
  </r>
  <r>
    <x v="166"/>
  </r>
  <r>
    <x v="529"/>
  </r>
  <r>
    <x v="633"/>
  </r>
  <r>
    <x v="633"/>
  </r>
  <r>
    <x v="211"/>
  </r>
  <r>
    <x v="109"/>
  </r>
  <r>
    <x v="736"/>
  </r>
  <r>
    <x v="736"/>
  </r>
  <r>
    <x v="736"/>
  </r>
  <r>
    <x v="480"/>
  </r>
  <r>
    <x v="217"/>
  </r>
  <r>
    <x v="217"/>
  </r>
  <r>
    <x v="217"/>
  </r>
  <r>
    <x v="217"/>
  </r>
  <r>
    <x v="217"/>
  </r>
  <r>
    <x v="217"/>
  </r>
  <r>
    <x v="217"/>
  </r>
  <r>
    <x v="679"/>
  </r>
  <r>
    <x v="679"/>
  </r>
  <r>
    <x v="679"/>
  </r>
  <r>
    <x v="64"/>
  </r>
  <r>
    <x v="64"/>
  </r>
  <r>
    <x v="64"/>
  </r>
  <r>
    <x v="64"/>
  </r>
  <r>
    <x v="64"/>
  </r>
  <r>
    <x v="64"/>
  </r>
  <r>
    <x v="64"/>
  </r>
  <r>
    <x v="702"/>
  </r>
  <r>
    <x v="702"/>
  </r>
  <r>
    <x v="87"/>
  </r>
  <r>
    <x v="425"/>
  </r>
  <r>
    <x v="386"/>
  </r>
  <r>
    <x v="386"/>
  </r>
  <r>
    <x v="386"/>
  </r>
  <r>
    <x v="440"/>
  </r>
  <r>
    <x v="440"/>
  </r>
  <r>
    <x v="352"/>
  </r>
  <r>
    <x v="352"/>
  </r>
  <r>
    <x v="352"/>
  </r>
  <r>
    <x v="640"/>
  </r>
  <r>
    <x v="316"/>
  </r>
  <r>
    <x v="316"/>
  </r>
  <r>
    <x v="127"/>
  </r>
  <r>
    <x v="127"/>
  </r>
  <r>
    <x v="667"/>
  </r>
  <r>
    <x v="667"/>
  </r>
  <r>
    <x v="169"/>
  </r>
  <r>
    <x v="169"/>
  </r>
  <r>
    <x v="105"/>
  </r>
  <r>
    <x v="105"/>
  </r>
  <r>
    <x v="564"/>
  </r>
  <r>
    <x v="564"/>
  </r>
  <r>
    <x v="564"/>
  </r>
  <r>
    <x v="185"/>
  </r>
  <r>
    <x v="274"/>
  </r>
  <r>
    <x v="274"/>
  </r>
  <r>
    <x v="274"/>
  </r>
  <r>
    <x v="153"/>
  </r>
  <r>
    <x v="181"/>
  </r>
  <r>
    <x v="564"/>
  </r>
  <r>
    <x v="16"/>
  </r>
  <r>
    <x v="16"/>
  </r>
  <r>
    <x v="358"/>
  </r>
  <r>
    <x v="358"/>
  </r>
  <r>
    <x v="358"/>
  </r>
  <r>
    <x v="358"/>
  </r>
  <r>
    <x v="358"/>
  </r>
  <r>
    <x v="294"/>
  </r>
  <r>
    <x v="694"/>
  </r>
  <r>
    <x v="752"/>
  </r>
  <r>
    <x v="752"/>
  </r>
  <r>
    <x v="620"/>
  </r>
  <r>
    <x v="421"/>
  </r>
  <r>
    <x v="362"/>
  </r>
  <r>
    <x v="362"/>
  </r>
  <r>
    <x v="667"/>
  </r>
  <r>
    <x v="667"/>
  </r>
  <r>
    <x v="667"/>
  </r>
  <r>
    <x v="278"/>
  </r>
  <r>
    <x v="278"/>
  </r>
  <r>
    <x v="278"/>
  </r>
  <r>
    <x v="336"/>
  </r>
  <r>
    <x v="273"/>
  </r>
  <r>
    <x v="270"/>
  </r>
  <r>
    <x v="270"/>
  </r>
  <r>
    <x v="270"/>
  </r>
  <r>
    <x v="270"/>
  </r>
  <r>
    <x v="270"/>
  </r>
  <r>
    <x v="35"/>
  </r>
  <r>
    <x v="494"/>
  </r>
  <r>
    <x v="494"/>
  </r>
  <r>
    <x v="494"/>
  </r>
  <r>
    <x v="494"/>
  </r>
  <r>
    <x v="494"/>
  </r>
  <r>
    <x v="494"/>
  </r>
  <r>
    <x v="494"/>
  </r>
  <r>
    <x v="494"/>
  </r>
  <r>
    <x v="494"/>
  </r>
  <r>
    <x v="494"/>
  </r>
  <r>
    <x v="494"/>
  </r>
  <r>
    <x v="571"/>
  </r>
  <r>
    <x v="140"/>
  </r>
  <r>
    <x v="140"/>
  </r>
  <r>
    <x v="342"/>
  </r>
  <r>
    <x v="342"/>
  </r>
  <r>
    <x v="342"/>
  </r>
  <r>
    <x v="342"/>
  </r>
  <r>
    <x v="574"/>
  </r>
  <r>
    <x v="574"/>
  </r>
  <r>
    <x v="503"/>
  </r>
  <r>
    <x v="503"/>
  </r>
  <r>
    <x v="270"/>
  </r>
  <r>
    <x v="270"/>
  </r>
  <r>
    <x v="270"/>
  </r>
  <r>
    <x v="484"/>
  </r>
  <r>
    <x v="274"/>
  </r>
  <r>
    <x v="274"/>
  </r>
  <r>
    <x v="29"/>
  </r>
  <r>
    <x v="283"/>
  </r>
  <r>
    <x v="500"/>
  </r>
  <r>
    <x v="500"/>
  </r>
  <r>
    <x v="500"/>
  </r>
  <r>
    <x v="500"/>
  </r>
  <r>
    <x v="500"/>
  </r>
  <r>
    <x v="500"/>
  </r>
  <r>
    <x v="171"/>
  </r>
  <r>
    <x v="171"/>
  </r>
  <r>
    <x v="634"/>
  </r>
  <r>
    <x v="634"/>
  </r>
  <r>
    <x v="157"/>
  </r>
  <r>
    <x v="109"/>
  </r>
  <r>
    <x v="109"/>
  </r>
  <r>
    <x v="489"/>
  </r>
  <r>
    <x v="529"/>
  </r>
  <r>
    <x v="583"/>
  </r>
  <r>
    <x v="435"/>
  </r>
  <r>
    <x v="500"/>
  </r>
  <r>
    <x v="394"/>
  </r>
  <r>
    <x v="451"/>
  </r>
  <r>
    <x v="773"/>
  </r>
  <r>
    <x v="528"/>
  </r>
  <r>
    <x v="512"/>
  </r>
  <r>
    <x v="512"/>
  </r>
  <r>
    <x v="270"/>
  </r>
  <r>
    <x v="270"/>
  </r>
  <r>
    <x v="579"/>
  </r>
  <r>
    <x v="611"/>
  </r>
  <r>
    <x v="611"/>
  </r>
  <r>
    <x v="611"/>
  </r>
  <r>
    <x v="514"/>
  </r>
  <r>
    <x v="418"/>
  </r>
  <r>
    <x v="418"/>
  </r>
  <r>
    <x v="418"/>
  </r>
  <r>
    <x v="488"/>
  </r>
  <r>
    <x v="271"/>
  </r>
  <r>
    <x v="617"/>
  </r>
  <r>
    <x v="617"/>
  </r>
  <r>
    <x v="617"/>
  </r>
  <r>
    <x v="303"/>
  </r>
  <r>
    <x v="303"/>
  </r>
  <r>
    <x v="303"/>
  </r>
  <r>
    <x v="303"/>
  </r>
  <r>
    <x v="303"/>
  </r>
  <r>
    <x v="303"/>
  </r>
  <r>
    <x v="303"/>
  </r>
  <r>
    <x v="672"/>
  </r>
  <r>
    <x v="135"/>
  </r>
  <r>
    <x v="442"/>
  </r>
  <r>
    <x v="442"/>
  </r>
  <r>
    <x v="442"/>
  </r>
  <r>
    <x v="36"/>
  </r>
  <r>
    <x v="36"/>
  </r>
  <r>
    <x v="455"/>
  </r>
  <r>
    <x v="68"/>
  </r>
  <r>
    <x v="723"/>
  </r>
  <r>
    <x v="314"/>
  </r>
  <r>
    <x v="314"/>
  </r>
  <r>
    <x v="550"/>
  </r>
  <r>
    <x v="52"/>
  </r>
  <r>
    <x v="52"/>
  </r>
  <r>
    <x v="52"/>
  </r>
  <r>
    <x v="164"/>
  </r>
  <r>
    <x v="341"/>
  </r>
  <r>
    <x v="341"/>
  </r>
  <r>
    <x v="416"/>
  </r>
  <r>
    <x v="416"/>
  </r>
  <r>
    <x v="391"/>
  </r>
  <r>
    <x v="391"/>
  </r>
  <r>
    <x v="624"/>
  </r>
  <r>
    <x v="212"/>
  </r>
  <r>
    <x v="685"/>
  </r>
  <r>
    <x v="150"/>
  </r>
  <r>
    <x v="150"/>
  </r>
  <r>
    <x v="150"/>
  </r>
  <r>
    <x v="150"/>
  </r>
  <r>
    <x v="150"/>
  </r>
  <r>
    <x v="150"/>
  </r>
  <r>
    <x v="150"/>
  </r>
  <r>
    <x v="27"/>
  </r>
  <r>
    <x v="174"/>
  </r>
  <r>
    <x v="174"/>
  </r>
  <r>
    <x v="174"/>
  </r>
  <r>
    <x v="174"/>
  </r>
  <r>
    <x v="174"/>
  </r>
  <r>
    <x v="365"/>
  </r>
  <r>
    <x v="365"/>
  </r>
  <r>
    <x v="237"/>
  </r>
  <r>
    <x v="237"/>
  </r>
  <r>
    <x v="237"/>
  </r>
  <r>
    <x v="625"/>
  </r>
  <r>
    <x v="401"/>
  </r>
  <r>
    <x v="203"/>
  </r>
  <r>
    <x v="573"/>
  </r>
  <r>
    <x v="573"/>
  </r>
  <r>
    <x v="271"/>
  </r>
  <r>
    <x v="271"/>
  </r>
  <r>
    <x v="271"/>
  </r>
  <r>
    <x v="280"/>
  </r>
  <r>
    <x v="531"/>
  </r>
  <r>
    <x v="364"/>
  </r>
  <r>
    <x v="364"/>
  </r>
  <r>
    <x v="230"/>
  </r>
  <r>
    <x v="230"/>
  </r>
  <r>
    <x v="230"/>
  </r>
  <r>
    <x v="230"/>
  </r>
  <r>
    <x v="230"/>
  </r>
  <r>
    <x v="504"/>
  </r>
  <r>
    <x v="504"/>
  </r>
  <r>
    <x v="603"/>
  </r>
  <r>
    <x v="603"/>
  </r>
  <r>
    <x v="603"/>
  </r>
  <r>
    <x v="603"/>
  </r>
  <r>
    <x v="364"/>
  </r>
  <r>
    <x v="558"/>
  </r>
  <r>
    <x v="177"/>
  </r>
  <r>
    <x v="562"/>
  </r>
  <r>
    <x v="554"/>
  </r>
  <r>
    <x v="411"/>
  </r>
  <r>
    <x v="411"/>
  </r>
  <r>
    <x v="411"/>
  </r>
  <r>
    <x v="411"/>
  </r>
  <r>
    <x v="411"/>
  </r>
  <r>
    <x v="411"/>
  </r>
  <r>
    <x v="653"/>
  </r>
  <r>
    <x v="653"/>
  </r>
  <r>
    <x v="202"/>
  </r>
  <r>
    <x v="196"/>
  </r>
  <r>
    <x v="711"/>
  </r>
  <r>
    <x v="711"/>
  </r>
  <r>
    <x v="363"/>
  </r>
  <r>
    <x v="306"/>
  </r>
  <r>
    <x v="476"/>
  </r>
  <r>
    <x v="677"/>
  </r>
  <r>
    <x v="47"/>
  </r>
  <r>
    <x v="75"/>
  </r>
  <r>
    <x v="634"/>
  </r>
  <r>
    <x v="634"/>
  </r>
  <r>
    <x v="101"/>
  </r>
  <r>
    <x v="101"/>
  </r>
  <r>
    <x v="766"/>
  </r>
  <r>
    <x v="318"/>
  </r>
  <r>
    <x v="167"/>
  </r>
  <r>
    <x v="167"/>
  </r>
  <r>
    <x v="251"/>
  </r>
  <r>
    <x v="251"/>
  </r>
  <r>
    <x v="435"/>
  </r>
  <r>
    <x v="240"/>
  </r>
  <r>
    <x v="240"/>
  </r>
  <r>
    <x v="425"/>
  </r>
  <r>
    <x v="425"/>
  </r>
  <r>
    <x v="12"/>
  </r>
  <r>
    <x v="781"/>
  </r>
  <r>
    <x v="216"/>
  </r>
  <r>
    <x v="254"/>
  </r>
  <r>
    <x v="254"/>
  </r>
  <r>
    <x v="280"/>
  </r>
  <r>
    <x v="287"/>
  </r>
  <r>
    <x v="287"/>
  </r>
  <r>
    <x v="652"/>
  </r>
  <r>
    <x v="257"/>
  </r>
  <r>
    <x v="41"/>
  </r>
  <r>
    <x v="236"/>
  </r>
  <r>
    <x v="285"/>
  </r>
  <r>
    <x v="744"/>
  </r>
  <r>
    <x v="744"/>
  </r>
  <r>
    <x v="744"/>
  </r>
  <r>
    <x v="744"/>
  </r>
  <r>
    <x v="744"/>
  </r>
  <r>
    <x v="744"/>
  </r>
  <r>
    <x v="744"/>
  </r>
  <r>
    <x v="322"/>
  </r>
  <r>
    <x v="322"/>
  </r>
  <r>
    <x v="322"/>
  </r>
  <r>
    <x v="603"/>
  </r>
  <r>
    <x v="603"/>
  </r>
  <r>
    <x v="603"/>
  </r>
  <r>
    <x v="603"/>
  </r>
  <r>
    <x v="623"/>
  </r>
  <r>
    <x v="16"/>
  </r>
  <r>
    <x v="616"/>
  </r>
  <r>
    <x v="616"/>
  </r>
  <r>
    <x v="285"/>
  </r>
  <r>
    <x v="620"/>
  </r>
  <r>
    <x v="669"/>
  </r>
  <r>
    <x v="509"/>
  </r>
  <r>
    <x v="509"/>
  </r>
  <r>
    <x v="509"/>
  </r>
  <r>
    <x v="509"/>
  </r>
  <r>
    <x v="332"/>
  </r>
  <r>
    <x v="443"/>
  </r>
  <r>
    <x v="163"/>
  </r>
  <r>
    <x v="163"/>
  </r>
  <r>
    <x v="637"/>
  </r>
  <r>
    <x v="639"/>
  </r>
  <r>
    <x v="552"/>
  </r>
  <r>
    <x v="552"/>
  </r>
  <r>
    <x v="552"/>
  </r>
  <r>
    <x v="552"/>
  </r>
  <r>
    <x v="751"/>
  </r>
  <r>
    <x v="751"/>
  </r>
  <r>
    <x v="609"/>
  </r>
  <r>
    <x v="609"/>
  </r>
  <r>
    <x v="248"/>
  </r>
  <r>
    <x v="248"/>
  </r>
  <r>
    <x v="248"/>
  </r>
  <r>
    <x v="248"/>
  </r>
  <r>
    <x v="248"/>
  </r>
  <r>
    <x v="703"/>
  </r>
  <r>
    <x v="57"/>
  </r>
  <r>
    <x v="57"/>
  </r>
  <r>
    <x v="57"/>
  </r>
  <r>
    <x v="57"/>
  </r>
  <r>
    <x v="57"/>
  </r>
  <r>
    <x v="57"/>
  </r>
  <r>
    <x v="57"/>
  </r>
  <r>
    <x v="57"/>
  </r>
  <r>
    <x v="758"/>
  </r>
  <r>
    <x v="758"/>
  </r>
  <r>
    <x v="42"/>
  </r>
  <r>
    <x v="722"/>
  </r>
  <r>
    <x v="560"/>
  </r>
  <r>
    <x v="560"/>
  </r>
  <r>
    <x v="560"/>
  </r>
  <r>
    <x v="560"/>
  </r>
  <r>
    <x v="4"/>
  </r>
  <r>
    <x v="4"/>
  </r>
  <r>
    <x v="539"/>
  </r>
  <r>
    <x v="539"/>
  </r>
  <r>
    <x v="539"/>
  </r>
  <r>
    <x v="275"/>
  </r>
  <r>
    <x v="777"/>
  </r>
  <r>
    <x v="777"/>
  </r>
  <r>
    <x v="777"/>
  </r>
  <r>
    <x v="777"/>
  </r>
  <r>
    <x v="195"/>
  </r>
  <r>
    <x v="195"/>
  </r>
  <r>
    <x v="195"/>
  </r>
  <r>
    <x v="195"/>
  </r>
  <r>
    <x v="755"/>
  </r>
  <r>
    <x v="433"/>
  </r>
  <r>
    <x v="51"/>
  </r>
  <r>
    <x v="51"/>
  </r>
  <r>
    <x v="467"/>
  </r>
  <r>
    <x v="505"/>
  </r>
  <r>
    <x v="293"/>
  </r>
  <r>
    <x v="293"/>
  </r>
  <r>
    <x v="293"/>
  </r>
  <r>
    <x v="293"/>
  </r>
  <r>
    <x v="293"/>
  </r>
  <r>
    <x v="293"/>
  </r>
  <r>
    <x v="577"/>
  </r>
  <r>
    <x v="577"/>
  </r>
  <r>
    <x v="772"/>
  </r>
  <r>
    <x v="772"/>
  </r>
  <r>
    <x v="772"/>
  </r>
  <r>
    <x v="772"/>
  </r>
  <r>
    <x v="772"/>
  </r>
  <r>
    <x v="737"/>
  </r>
  <r>
    <x v="525"/>
  </r>
  <r>
    <x v="525"/>
  </r>
  <r>
    <x v="525"/>
  </r>
  <r>
    <x v="525"/>
  </r>
  <r>
    <x v="150"/>
  </r>
  <r>
    <x v="150"/>
  </r>
  <r>
    <x v="91"/>
  </r>
  <r>
    <x v="10"/>
  </r>
  <r>
    <x v="10"/>
  </r>
  <r>
    <x v="10"/>
  </r>
  <r>
    <x v="10"/>
  </r>
  <r>
    <x v="187"/>
  </r>
  <r>
    <x v="187"/>
  </r>
  <r>
    <x v="633"/>
  </r>
  <r>
    <x v="435"/>
  </r>
  <r>
    <x v="435"/>
  </r>
  <r>
    <x v="435"/>
  </r>
  <r>
    <x v="27"/>
  </r>
  <r>
    <x v="27"/>
  </r>
  <r>
    <x v="704"/>
  </r>
  <r>
    <x v="740"/>
  </r>
  <r>
    <x v="32"/>
  </r>
  <r>
    <x v="32"/>
  </r>
  <r>
    <x v="209"/>
  </r>
  <r>
    <x v="209"/>
  </r>
  <r>
    <x v="209"/>
  </r>
  <r>
    <x v="614"/>
  </r>
  <r>
    <x v="165"/>
  </r>
  <r>
    <x v="165"/>
  </r>
  <r>
    <x v="656"/>
  </r>
  <r>
    <x v="750"/>
  </r>
  <r>
    <x v="584"/>
  </r>
  <r>
    <x v="339"/>
  </r>
  <r>
    <x v="339"/>
  </r>
  <r>
    <x v="339"/>
  </r>
  <r>
    <x v="122"/>
  </r>
  <r>
    <x v="741"/>
  </r>
  <r>
    <x v="51"/>
  </r>
  <r>
    <x v="51"/>
  </r>
  <r>
    <x v="51"/>
  </r>
  <r>
    <x v="51"/>
  </r>
  <r>
    <x v="625"/>
  </r>
  <r>
    <x v="625"/>
  </r>
  <r>
    <x v="625"/>
  </r>
  <r>
    <x v="625"/>
  </r>
  <r>
    <x v="625"/>
  </r>
  <r>
    <x v="625"/>
  </r>
  <r>
    <x v="13"/>
  </r>
  <r>
    <x v="469"/>
  </r>
  <r>
    <x v="469"/>
  </r>
  <r>
    <x v="469"/>
  </r>
  <r>
    <x v="185"/>
  </r>
  <r>
    <x v="760"/>
  </r>
  <r>
    <x v="760"/>
  </r>
  <r>
    <x v="760"/>
  </r>
  <r>
    <x v="760"/>
  </r>
  <r>
    <x v="381"/>
  </r>
  <r>
    <x v="360"/>
  </r>
  <r>
    <x v="360"/>
  </r>
  <r>
    <x v="360"/>
  </r>
  <r>
    <x v="154"/>
  </r>
  <r>
    <x v="154"/>
  </r>
  <r>
    <x v="154"/>
  </r>
  <r>
    <x v="731"/>
  </r>
  <r>
    <x v="731"/>
  </r>
  <r>
    <x v="731"/>
  </r>
  <r>
    <x v="550"/>
  </r>
  <r>
    <x v="550"/>
  </r>
  <r>
    <x v="59"/>
  </r>
  <r>
    <x v="59"/>
  </r>
  <r>
    <x v="476"/>
  </r>
  <r>
    <x v="476"/>
  </r>
  <r>
    <x v="476"/>
  </r>
  <r>
    <x v="476"/>
  </r>
  <r>
    <x v="705"/>
  </r>
  <r>
    <x v="92"/>
  </r>
  <r>
    <x v="92"/>
  </r>
  <r>
    <x v="452"/>
  </r>
  <r>
    <x v="452"/>
  </r>
  <r>
    <x v="20"/>
  </r>
  <r>
    <x v="741"/>
  </r>
  <r>
    <x v="457"/>
  </r>
  <r>
    <x v="457"/>
  </r>
  <r>
    <x v="659"/>
  </r>
  <r>
    <x v="717"/>
  </r>
  <r>
    <x v="717"/>
  </r>
  <r>
    <x v="717"/>
  </r>
  <r>
    <x v="717"/>
  </r>
  <r>
    <x v="44"/>
  </r>
  <r>
    <x v="242"/>
  </r>
  <r>
    <x v="109"/>
  </r>
  <r>
    <x v="46"/>
  </r>
  <r>
    <x v="197"/>
  </r>
  <r>
    <x v="568"/>
  </r>
  <r>
    <x v="568"/>
  </r>
  <r>
    <x v="351"/>
  </r>
  <r>
    <x v="226"/>
  </r>
  <r>
    <x v="681"/>
  </r>
  <r>
    <x v="681"/>
  </r>
  <r>
    <x v="681"/>
  </r>
  <r>
    <x v="149"/>
  </r>
  <r>
    <x v="149"/>
  </r>
  <r>
    <x v="359"/>
  </r>
  <r>
    <x v="294"/>
  </r>
  <r>
    <x v="321"/>
  </r>
  <r>
    <x v="537"/>
  </r>
  <r>
    <x v="537"/>
  </r>
  <r>
    <x v="55"/>
  </r>
  <r>
    <x v="55"/>
  </r>
  <r>
    <x v="55"/>
  </r>
  <r>
    <x v="55"/>
  </r>
  <r>
    <x v="55"/>
  </r>
  <r>
    <x v="488"/>
  </r>
  <r>
    <x v="488"/>
  </r>
  <r>
    <x v="172"/>
  </r>
  <r>
    <x v="292"/>
  </r>
  <r>
    <x v="292"/>
  </r>
  <r>
    <x v="601"/>
  </r>
  <r>
    <x v="601"/>
  </r>
  <r>
    <x v="601"/>
  </r>
  <r>
    <x v="79"/>
  </r>
  <r>
    <x v="79"/>
  </r>
  <r>
    <x v="79"/>
  </r>
  <r>
    <x v="79"/>
  </r>
  <r>
    <x v="79"/>
  </r>
  <r>
    <x v="755"/>
  </r>
  <r>
    <x v="755"/>
  </r>
  <r>
    <x v="755"/>
  </r>
  <r>
    <x v="62"/>
  </r>
  <r>
    <x v="297"/>
  </r>
  <r>
    <x v="341"/>
  </r>
  <r>
    <x v="341"/>
  </r>
  <r>
    <x v="698"/>
  </r>
  <r>
    <x v="698"/>
  </r>
  <r>
    <x v="425"/>
  </r>
  <r>
    <x v="425"/>
  </r>
  <r>
    <x v="244"/>
  </r>
  <r>
    <x v="307"/>
  </r>
  <r>
    <x v="307"/>
  </r>
  <r>
    <x v="307"/>
  </r>
  <r>
    <x v="307"/>
  </r>
  <r>
    <x v="307"/>
  </r>
  <r>
    <x v="307"/>
  </r>
  <r>
    <x v="610"/>
  </r>
  <r>
    <x v="584"/>
  </r>
  <r>
    <x v="689"/>
  </r>
  <r>
    <x v="689"/>
  </r>
  <r>
    <x v="710"/>
  </r>
  <r>
    <x v="442"/>
  </r>
  <r>
    <x v="442"/>
  </r>
  <r>
    <x v="289"/>
  </r>
  <r>
    <x v="308"/>
  </r>
  <r>
    <x v="308"/>
  </r>
  <r>
    <x v="214"/>
  </r>
  <r>
    <x v="214"/>
  </r>
  <r>
    <x v="214"/>
  </r>
  <r>
    <x v="214"/>
  </r>
  <r>
    <x v="214"/>
  </r>
  <r>
    <x v="383"/>
  </r>
  <r>
    <x v="56"/>
  </r>
  <r>
    <x v="56"/>
  </r>
  <r>
    <x v="56"/>
  </r>
  <r>
    <x v="257"/>
  </r>
  <r>
    <x v="257"/>
  </r>
  <r>
    <x v="660"/>
  </r>
  <r>
    <x v="660"/>
  </r>
  <r>
    <x v="706"/>
  </r>
  <r>
    <x v="706"/>
  </r>
  <r>
    <x v="159"/>
  </r>
  <r>
    <x v="159"/>
  </r>
  <r>
    <x v="159"/>
  </r>
  <r>
    <x v="159"/>
  </r>
  <r>
    <x v="409"/>
  </r>
  <r>
    <x v="687"/>
  </r>
  <r>
    <x v="138"/>
  </r>
  <r>
    <x v="760"/>
  </r>
  <r>
    <x v="238"/>
  </r>
  <r>
    <x v="287"/>
  </r>
  <r>
    <x v="287"/>
  </r>
  <r>
    <x v="28"/>
  </r>
  <r>
    <x v="28"/>
  </r>
  <r>
    <x v="478"/>
  </r>
  <r>
    <x v="569"/>
  </r>
  <r>
    <x v="569"/>
  </r>
  <r>
    <x v="0"/>
  </r>
  <r>
    <x v="722"/>
  </r>
  <r>
    <x v="722"/>
  </r>
  <r>
    <x v="722"/>
  </r>
  <r>
    <x v="500"/>
  </r>
  <r>
    <x v="427"/>
  </r>
  <r>
    <x v="427"/>
  </r>
  <r>
    <x v="427"/>
  </r>
  <r>
    <x v="427"/>
  </r>
  <r>
    <x v="595"/>
  </r>
  <r>
    <x v="595"/>
  </r>
  <r>
    <x v="595"/>
  </r>
  <r>
    <x v="595"/>
  </r>
  <r>
    <x v="782"/>
  </r>
  <r>
    <x v="782"/>
  </r>
  <r>
    <x v="151"/>
  </r>
  <r>
    <x v="562"/>
  </r>
  <r>
    <x v="658"/>
  </r>
  <r>
    <x v="658"/>
  </r>
  <r>
    <x v="658"/>
  </r>
  <r>
    <x v="658"/>
  </r>
  <r>
    <x v="738"/>
  </r>
  <r>
    <x v="738"/>
  </r>
  <r>
    <x v="588"/>
  </r>
  <r>
    <x v="489"/>
  </r>
  <r>
    <x v="489"/>
  </r>
  <r>
    <x v="668"/>
  </r>
  <r>
    <x v="668"/>
  </r>
  <r>
    <x v="545"/>
  </r>
  <r>
    <x v="545"/>
  </r>
  <r>
    <x v="754"/>
  </r>
  <r>
    <x v="366"/>
  </r>
  <r>
    <x v="366"/>
  </r>
  <r>
    <x v="772"/>
  </r>
  <r>
    <x v="772"/>
  </r>
  <r>
    <x v="772"/>
  </r>
  <r>
    <x v="772"/>
  </r>
  <r>
    <x v="185"/>
  </r>
  <r>
    <x v="600"/>
  </r>
  <r>
    <x v="600"/>
  </r>
  <r>
    <x v="507"/>
  </r>
  <r>
    <x v="496"/>
  </r>
  <r>
    <x v="655"/>
  </r>
  <r>
    <x v="167"/>
  </r>
  <r>
    <x v="167"/>
  </r>
  <r>
    <x v="167"/>
  </r>
  <r>
    <x v="167"/>
  </r>
  <r>
    <x v="298"/>
  </r>
  <r>
    <x v="298"/>
  </r>
  <r>
    <x v="127"/>
  </r>
  <r>
    <x v="544"/>
  </r>
  <r>
    <x v="41"/>
  </r>
  <r>
    <x v="432"/>
  </r>
  <r>
    <x v="499"/>
  </r>
  <r>
    <x v="499"/>
  </r>
  <r>
    <x v="499"/>
  </r>
  <r>
    <x v="499"/>
  </r>
  <r>
    <x v="499"/>
  </r>
  <r>
    <x v="145"/>
  </r>
  <r>
    <x v="720"/>
  </r>
  <r>
    <x v="720"/>
  </r>
  <r>
    <x v="720"/>
  </r>
  <r>
    <x v="720"/>
  </r>
  <r>
    <x v="720"/>
  </r>
  <r>
    <x v="720"/>
  </r>
  <r>
    <x v="720"/>
  </r>
  <r>
    <x v="59"/>
  </r>
  <r>
    <x v="59"/>
  </r>
  <r>
    <x v="59"/>
  </r>
  <r>
    <x v="733"/>
  </r>
  <r>
    <x v="711"/>
  </r>
  <r>
    <x v="136"/>
  </r>
  <r>
    <x v="396"/>
  </r>
  <r>
    <x v="139"/>
  </r>
  <r>
    <x v="139"/>
  </r>
  <r>
    <x v="139"/>
  </r>
  <r>
    <x v="342"/>
  </r>
  <r>
    <x v="530"/>
  </r>
  <r>
    <x v="530"/>
  </r>
  <r>
    <x v="530"/>
  </r>
  <r>
    <x v="530"/>
  </r>
  <r>
    <x v="530"/>
  </r>
  <r>
    <x v="687"/>
  </r>
  <r>
    <x v="687"/>
  </r>
  <r>
    <x v="687"/>
  </r>
  <r>
    <x v="687"/>
  </r>
  <r>
    <x v="68"/>
  </r>
  <r>
    <x v="674"/>
  </r>
  <r>
    <x v="674"/>
  </r>
  <r>
    <x v="674"/>
  </r>
  <r>
    <x v="674"/>
  </r>
  <r>
    <x v="674"/>
  </r>
  <r>
    <x v="674"/>
  </r>
  <r>
    <x v="674"/>
  </r>
  <r>
    <x v="674"/>
  </r>
  <r>
    <x v="674"/>
  </r>
  <r>
    <x v="675"/>
  </r>
  <r>
    <x v="675"/>
  </r>
  <r>
    <x v="326"/>
  </r>
  <r>
    <x v="778"/>
  </r>
  <r>
    <x v="778"/>
  </r>
  <r>
    <x v="778"/>
  </r>
  <r>
    <x v="778"/>
  </r>
  <r>
    <x v="647"/>
  </r>
  <r>
    <x v="72"/>
  </r>
  <r>
    <x v="426"/>
  </r>
  <r>
    <x v="455"/>
  </r>
  <r>
    <x v="455"/>
  </r>
  <r>
    <x v="527"/>
  </r>
  <r>
    <x v="651"/>
  </r>
  <r>
    <x v="11"/>
  </r>
  <r>
    <x v="11"/>
  </r>
  <r>
    <x v="11"/>
  </r>
  <r>
    <x v="11"/>
  </r>
  <r>
    <x v="52"/>
  </r>
  <r>
    <x v="52"/>
  </r>
  <r>
    <x v="52"/>
  </r>
  <r>
    <x v="52"/>
  </r>
  <r>
    <x v="434"/>
  </r>
  <r>
    <x v="422"/>
  </r>
  <r>
    <x v="47"/>
  </r>
  <r>
    <x v="698"/>
  </r>
  <r>
    <x v="310"/>
  </r>
  <r>
    <x v="310"/>
  </r>
  <r>
    <x v="173"/>
  </r>
  <r>
    <x v="173"/>
  </r>
  <r>
    <x v="758"/>
  </r>
  <r>
    <x v="758"/>
  </r>
  <r>
    <x v="68"/>
  </r>
  <r>
    <x v="236"/>
  </r>
  <r>
    <x v="236"/>
  </r>
  <r>
    <x v="236"/>
  </r>
  <r>
    <x v="203"/>
  </r>
  <r>
    <x v="764"/>
  </r>
  <r>
    <x v="152"/>
  </r>
  <r>
    <x v="152"/>
  </r>
  <r>
    <x v="152"/>
  </r>
  <r>
    <x v="152"/>
  </r>
  <r>
    <x v="734"/>
  </r>
  <r>
    <x v="461"/>
  </r>
  <r>
    <x v="574"/>
  </r>
  <r>
    <x v="126"/>
  </r>
  <r>
    <x v="694"/>
  </r>
  <r>
    <x v="745"/>
  </r>
  <r>
    <x v="745"/>
  </r>
  <r>
    <x v="745"/>
  </r>
  <r>
    <x v="291"/>
  </r>
  <r>
    <x v="291"/>
  </r>
  <r>
    <x v="535"/>
  </r>
  <r>
    <x v="535"/>
  </r>
  <r>
    <x v="535"/>
  </r>
  <r>
    <x v="20"/>
  </r>
  <r>
    <x v="689"/>
  </r>
  <r>
    <x v="405"/>
  </r>
  <r>
    <x v="107"/>
  </r>
  <r>
    <x v="107"/>
  </r>
  <r>
    <x v="107"/>
  </r>
  <r>
    <x v="107"/>
  </r>
  <r>
    <x v="107"/>
  </r>
  <r>
    <x v="514"/>
  </r>
  <r>
    <x v="514"/>
  </r>
  <r>
    <x v="514"/>
  </r>
  <r>
    <x v="257"/>
  </r>
  <r>
    <x v="76"/>
  </r>
  <r>
    <x v="154"/>
  </r>
  <r>
    <x v="95"/>
  </r>
  <r>
    <x v="95"/>
  </r>
  <r>
    <x v="713"/>
  </r>
  <r>
    <x v="783"/>
  </r>
  <r>
    <x v="726"/>
  </r>
  <r>
    <x v="726"/>
  </r>
  <r>
    <x v="252"/>
  </r>
  <r>
    <x v="252"/>
  </r>
  <r>
    <x v="252"/>
  </r>
  <r>
    <x v="252"/>
  </r>
  <r>
    <x v="252"/>
  </r>
  <r>
    <x v="199"/>
  </r>
  <r>
    <x v="648"/>
  </r>
  <r>
    <x v="648"/>
  </r>
  <r>
    <x v="648"/>
  </r>
  <r>
    <x v="641"/>
  </r>
  <r>
    <x v="641"/>
  </r>
  <r>
    <x v="641"/>
  </r>
  <r>
    <x v="641"/>
  </r>
  <r>
    <x v="641"/>
  </r>
  <r>
    <x v="641"/>
  </r>
  <r>
    <x v="740"/>
  </r>
  <r>
    <x v="740"/>
  </r>
  <r>
    <x v="740"/>
  </r>
  <r>
    <x v="740"/>
  </r>
  <r>
    <x v="38"/>
  </r>
  <r>
    <x v="526"/>
  </r>
  <r>
    <x v="526"/>
  </r>
  <r>
    <x v="526"/>
  </r>
  <r>
    <x v="526"/>
  </r>
  <r>
    <x v="526"/>
  </r>
  <r>
    <x v="526"/>
  </r>
  <r>
    <x v="526"/>
  </r>
  <r>
    <x v="310"/>
  </r>
  <r>
    <x v="784"/>
  </r>
  <r>
    <x v="652"/>
  </r>
  <r>
    <x v="5"/>
  </r>
  <r>
    <x v="23"/>
  </r>
  <r>
    <x v="23"/>
  </r>
  <r>
    <x v="513"/>
  </r>
  <r>
    <x v="171"/>
  </r>
  <r>
    <x v="626"/>
  </r>
  <r>
    <x v="626"/>
  </r>
  <r>
    <x v="626"/>
  </r>
  <r>
    <x v="445"/>
  </r>
  <r>
    <x v="474"/>
  </r>
  <r>
    <x v="474"/>
  </r>
  <r>
    <x v="709"/>
  </r>
  <r>
    <x v="458"/>
  </r>
  <r>
    <x v="458"/>
  </r>
  <r>
    <x v="458"/>
  </r>
  <r>
    <x v="134"/>
  </r>
  <r>
    <x v="418"/>
  </r>
  <r>
    <x v="423"/>
  </r>
  <r>
    <x v="423"/>
  </r>
  <r>
    <x v="389"/>
  </r>
  <r>
    <x v="389"/>
  </r>
  <r>
    <x v="317"/>
  </r>
  <r>
    <x v="317"/>
  </r>
  <r>
    <x v="405"/>
  </r>
  <r>
    <x v="45"/>
  </r>
  <r>
    <x v="45"/>
  </r>
  <r>
    <x v="45"/>
  </r>
  <r>
    <x v="45"/>
  </r>
  <r>
    <x v="169"/>
  </r>
  <r>
    <x v="509"/>
  </r>
  <r>
    <x v="529"/>
  </r>
  <r>
    <x v="529"/>
  </r>
  <r>
    <x v="538"/>
  </r>
  <r>
    <x v="596"/>
  </r>
  <r>
    <x v="175"/>
  </r>
  <r>
    <x v="52"/>
  </r>
  <r>
    <x v="481"/>
  </r>
  <r>
    <x v="293"/>
  </r>
  <r>
    <x v="293"/>
  </r>
  <r>
    <x v="293"/>
  </r>
  <r>
    <x v="577"/>
  </r>
  <r>
    <x v="398"/>
  </r>
  <r>
    <x v="770"/>
  </r>
  <r>
    <x v="345"/>
  </r>
  <r>
    <x v="431"/>
  </r>
  <r>
    <x v="431"/>
  </r>
  <r>
    <x v="431"/>
  </r>
  <r>
    <x v="431"/>
  </r>
  <r>
    <x v="431"/>
  </r>
  <r>
    <x v="57"/>
  </r>
  <r>
    <x v="57"/>
  </r>
  <r>
    <x v="491"/>
  </r>
  <r>
    <x v="491"/>
  </r>
  <r>
    <x v="432"/>
  </r>
  <r>
    <x v="432"/>
  </r>
  <r>
    <x v="303"/>
  </r>
  <r>
    <x v="303"/>
  </r>
  <r>
    <x v="62"/>
  </r>
  <r>
    <x v="62"/>
  </r>
  <r>
    <x v="697"/>
  </r>
  <r>
    <x v="697"/>
  </r>
  <r>
    <x v="697"/>
  </r>
  <r>
    <x v="697"/>
  </r>
  <r>
    <x v="697"/>
  </r>
  <r>
    <x v="697"/>
  </r>
  <r>
    <x v="52"/>
  </r>
  <r>
    <x v="52"/>
  </r>
  <r>
    <x v="52"/>
  </r>
  <r>
    <x v="318"/>
  </r>
  <r>
    <x v="479"/>
  </r>
  <r>
    <x v="479"/>
  </r>
  <r>
    <x v="694"/>
  </r>
  <r>
    <x v="694"/>
  </r>
  <r>
    <x v="446"/>
  </r>
  <r>
    <x v="446"/>
  </r>
  <r>
    <x v="785"/>
  </r>
  <r>
    <x v="785"/>
  </r>
  <r>
    <x v="524"/>
  </r>
  <r>
    <x v="524"/>
  </r>
  <r>
    <x v="206"/>
  </r>
  <r>
    <x v="206"/>
  </r>
  <r>
    <x v="399"/>
  </r>
  <r>
    <x v="399"/>
  </r>
  <r>
    <x v="90"/>
  </r>
  <r>
    <x v="304"/>
  </r>
  <r>
    <x v="304"/>
  </r>
  <r>
    <x v="700"/>
  </r>
  <r>
    <x v="700"/>
  </r>
  <r>
    <x v="649"/>
  </r>
  <r>
    <x v="649"/>
  </r>
  <r>
    <x v="274"/>
  </r>
  <r>
    <x v="274"/>
  </r>
  <r>
    <x v="598"/>
  </r>
  <r>
    <x v="679"/>
  </r>
  <r>
    <x v="513"/>
  </r>
  <r>
    <x v="513"/>
  </r>
  <r>
    <x v="513"/>
  </r>
  <r>
    <x v="750"/>
  </r>
  <r>
    <x v="349"/>
  </r>
  <r>
    <x v="349"/>
  </r>
  <r>
    <x v="360"/>
  </r>
  <r>
    <x v="312"/>
  </r>
  <r>
    <x v="182"/>
  </r>
  <r>
    <x v="489"/>
  </r>
  <r>
    <x v="512"/>
  </r>
  <r>
    <x v="270"/>
  </r>
  <r>
    <x v="26"/>
  </r>
  <r>
    <x v="244"/>
  </r>
  <r>
    <x v="485"/>
  </r>
  <r>
    <x v="503"/>
  </r>
  <r>
    <x v="264"/>
  </r>
  <r>
    <x v="264"/>
  </r>
  <r>
    <x v="615"/>
  </r>
  <r>
    <x v="615"/>
  </r>
  <r>
    <x v="11"/>
  </r>
  <r>
    <x v="11"/>
  </r>
  <r>
    <x v="11"/>
  </r>
  <r>
    <x v="618"/>
  </r>
  <r>
    <x v="253"/>
  </r>
  <r>
    <x v="253"/>
  </r>
  <r>
    <x v="253"/>
  </r>
  <r>
    <x v="253"/>
  </r>
  <r>
    <x v="253"/>
  </r>
  <r>
    <x v="100"/>
  </r>
  <r>
    <x v="255"/>
  </r>
  <r>
    <x v="255"/>
  </r>
  <r>
    <x v="255"/>
  </r>
  <r>
    <x v="255"/>
  </r>
  <r>
    <x v="255"/>
  </r>
  <r>
    <x v="255"/>
  </r>
  <r>
    <x v="688"/>
  </r>
  <r>
    <x v="694"/>
  </r>
  <r>
    <x v="755"/>
  </r>
  <r>
    <x v="755"/>
  </r>
  <r>
    <x v="755"/>
  </r>
  <r>
    <x v="755"/>
  </r>
  <r>
    <x v="605"/>
  </r>
  <r>
    <x v="605"/>
  </r>
  <r>
    <x v="605"/>
  </r>
  <r>
    <x v="107"/>
  </r>
  <r>
    <x v="107"/>
  </r>
  <r>
    <x v="671"/>
  </r>
  <r>
    <x v="671"/>
  </r>
  <r>
    <x v="671"/>
  </r>
  <r>
    <x v="373"/>
  </r>
  <r>
    <x v="218"/>
  </r>
  <r>
    <x v="218"/>
  </r>
  <r>
    <x v="677"/>
  </r>
  <r>
    <x v="677"/>
  </r>
  <r>
    <x v="744"/>
  </r>
  <r>
    <x v="549"/>
  </r>
  <r>
    <x v="549"/>
  </r>
  <r>
    <x v="95"/>
  </r>
  <r>
    <x v="690"/>
  </r>
  <r>
    <x v="664"/>
  </r>
  <r>
    <x v="779"/>
  </r>
  <r>
    <x v="779"/>
  </r>
  <r>
    <x v="573"/>
  </r>
  <r>
    <x v="210"/>
  </r>
  <r>
    <x v="480"/>
  </r>
  <r>
    <x v="480"/>
  </r>
  <r>
    <x v="705"/>
  </r>
  <r>
    <x v="705"/>
  </r>
  <r>
    <x v="705"/>
  </r>
  <r>
    <x v="672"/>
  </r>
  <r>
    <x v="672"/>
  </r>
  <r>
    <x v="672"/>
  </r>
  <r>
    <x v="672"/>
  </r>
  <r>
    <x v="703"/>
  </r>
  <r>
    <x v="703"/>
  </r>
  <r>
    <x v="105"/>
  </r>
  <r>
    <x v="105"/>
  </r>
  <r>
    <x v="105"/>
  </r>
  <r>
    <x v="85"/>
  </r>
  <r>
    <x v="588"/>
  </r>
  <r>
    <x v="743"/>
  </r>
  <r>
    <x v="637"/>
  </r>
  <r>
    <x v="721"/>
  </r>
  <r>
    <x v="721"/>
  </r>
  <r>
    <x v="2"/>
  </r>
  <r>
    <x v="672"/>
  </r>
  <r>
    <x v="672"/>
  </r>
  <r>
    <x v="420"/>
  </r>
  <r>
    <x v="172"/>
  </r>
  <r>
    <x v="172"/>
  </r>
  <r>
    <x v="25"/>
  </r>
  <r>
    <x v="556"/>
  </r>
  <r>
    <x v="768"/>
  </r>
  <r>
    <x v="675"/>
  </r>
  <r>
    <x v="675"/>
  </r>
  <r>
    <x v="755"/>
  </r>
  <r>
    <x v="755"/>
  </r>
  <r>
    <x v="358"/>
  </r>
  <r>
    <x v="358"/>
  </r>
  <r>
    <x v="358"/>
  </r>
  <r>
    <x v="700"/>
  </r>
  <r>
    <x v="91"/>
  </r>
  <r>
    <x v="91"/>
  </r>
  <r>
    <x v="304"/>
  </r>
  <r>
    <x v="219"/>
  </r>
  <r>
    <x v="76"/>
  </r>
  <r>
    <x v="73"/>
  </r>
  <r>
    <x v="729"/>
  </r>
  <r>
    <x v="87"/>
  </r>
  <r>
    <x v="87"/>
  </r>
  <r>
    <x v="326"/>
  </r>
  <r>
    <x v="326"/>
  </r>
  <r>
    <x v="326"/>
  </r>
  <r>
    <x v="531"/>
  </r>
  <r>
    <x v="531"/>
  </r>
  <r>
    <x v="467"/>
  </r>
  <r>
    <x v="685"/>
  </r>
  <r>
    <x v="529"/>
  </r>
  <r>
    <x v="525"/>
  </r>
  <r>
    <x v="351"/>
  </r>
  <r>
    <x v="351"/>
  </r>
  <r>
    <x v="400"/>
  </r>
  <r>
    <x v="327"/>
  </r>
  <r>
    <x v="772"/>
  </r>
  <r>
    <x v="772"/>
  </r>
  <r>
    <x v="694"/>
  </r>
  <r>
    <x v="740"/>
  </r>
  <r>
    <x v="740"/>
  </r>
  <r>
    <x v="740"/>
  </r>
  <r>
    <x v="316"/>
  </r>
  <r>
    <x v="316"/>
  </r>
  <r>
    <x v="360"/>
  </r>
  <r>
    <x v="551"/>
  </r>
  <r>
    <x v="118"/>
  </r>
  <r>
    <x v="118"/>
  </r>
  <r>
    <x v="118"/>
  </r>
  <r>
    <x v="504"/>
  </r>
  <r>
    <x v="504"/>
  </r>
  <r>
    <x v="575"/>
  </r>
  <r>
    <x v="575"/>
  </r>
  <r>
    <x v="731"/>
  </r>
  <r>
    <x v="731"/>
  </r>
  <r>
    <x v="731"/>
  </r>
  <r>
    <x v="731"/>
  </r>
  <r>
    <x v="731"/>
  </r>
  <r>
    <x v="754"/>
  </r>
  <r>
    <x v="754"/>
  </r>
  <r>
    <x v="754"/>
  </r>
  <r>
    <x v="575"/>
  </r>
  <r>
    <x v="575"/>
  </r>
  <r>
    <x v="575"/>
  </r>
  <r>
    <x v="575"/>
  </r>
  <r>
    <x v="489"/>
  </r>
  <r>
    <x v="168"/>
  </r>
  <r>
    <x v="168"/>
  </r>
  <r>
    <x v="393"/>
  </r>
  <r>
    <x v="536"/>
  </r>
  <r>
    <x v="384"/>
  </r>
  <r>
    <x v="384"/>
  </r>
  <r>
    <x v="384"/>
  </r>
  <r>
    <x v="598"/>
  </r>
  <r>
    <x v="170"/>
  </r>
  <r>
    <x v="770"/>
  </r>
  <r>
    <x v="770"/>
  </r>
  <r>
    <x v="460"/>
  </r>
  <r>
    <x v="333"/>
  </r>
  <r>
    <x v="159"/>
  </r>
  <r>
    <x v="159"/>
  </r>
  <r>
    <x v="159"/>
  </r>
  <r>
    <x v="2"/>
  </r>
  <r>
    <x v="2"/>
  </r>
  <r>
    <x v="2"/>
  </r>
  <r>
    <x v="603"/>
  </r>
  <r>
    <x v="440"/>
  </r>
  <r>
    <x v="467"/>
  </r>
  <r>
    <x v="602"/>
  </r>
  <r>
    <x v="602"/>
  </r>
  <r>
    <x v="602"/>
  </r>
  <r>
    <x v="602"/>
  </r>
  <r>
    <x v="692"/>
  </r>
  <r>
    <x v="246"/>
  </r>
  <r>
    <x v="496"/>
  </r>
  <r>
    <x v="577"/>
  </r>
  <r>
    <x v="351"/>
  </r>
  <r>
    <x v="147"/>
  </r>
  <r>
    <x v="290"/>
  </r>
  <r>
    <x v="91"/>
  </r>
  <r>
    <x v="91"/>
  </r>
  <r>
    <x v="162"/>
  </r>
  <r>
    <x v="162"/>
  </r>
  <r>
    <x v="162"/>
  </r>
  <r>
    <x v="162"/>
  </r>
  <r>
    <x v="162"/>
  </r>
  <r>
    <x v="269"/>
  </r>
  <r>
    <x v="269"/>
  </r>
  <r>
    <x v="269"/>
  </r>
  <r>
    <x v="488"/>
  </r>
  <r>
    <x v="488"/>
  </r>
  <r>
    <x v="488"/>
  </r>
  <r>
    <x v="488"/>
  </r>
  <r>
    <x v="477"/>
  </r>
  <r>
    <x v="456"/>
  </r>
  <r>
    <x v="296"/>
  </r>
  <r>
    <x v="296"/>
  </r>
  <r>
    <x v="74"/>
  </r>
  <r>
    <x v="425"/>
  </r>
  <r>
    <x v="345"/>
  </r>
  <r>
    <x v="345"/>
  </r>
  <r>
    <x v="345"/>
  </r>
  <r>
    <x v="345"/>
  </r>
  <r>
    <x v="657"/>
  </r>
  <r>
    <x v="273"/>
  </r>
  <r>
    <x v="273"/>
  </r>
  <r>
    <x v="273"/>
  </r>
  <r>
    <x v="273"/>
  </r>
  <r>
    <x v="237"/>
  </r>
  <r>
    <x v="291"/>
  </r>
  <r>
    <x v="291"/>
  </r>
  <r>
    <x v="291"/>
  </r>
  <r>
    <x v="291"/>
  </r>
  <r>
    <x v="291"/>
  </r>
  <r>
    <x v="249"/>
  </r>
  <r>
    <x v="136"/>
  </r>
  <r>
    <x v="772"/>
  </r>
  <r>
    <x v="137"/>
  </r>
  <r>
    <x v="137"/>
  </r>
  <r>
    <x v="67"/>
  </r>
  <r>
    <x v="596"/>
  </r>
  <r>
    <x v="596"/>
  </r>
  <r>
    <x v="127"/>
  </r>
  <r>
    <x v="127"/>
  </r>
  <r>
    <x v="217"/>
  </r>
  <r>
    <x v="217"/>
  </r>
  <r>
    <x v="217"/>
  </r>
  <r>
    <x v="217"/>
  </r>
  <r>
    <x v="217"/>
  </r>
  <r>
    <x v="8"/>
  </r>
  <r>
    <x v="8"/>
  </r>
  <r>
    <x v="8"/>
  </r>
  <r>
    <x v="8"/>
  </r>
  <r>
    <x v="8"/>
  </r>
  <r>
    <x v="8"/>
  </r>
  <r>
    <x v="0"/>
  </r>
  <r>
    <x v="0"/>
  </r>
  <r>
    <x v="0"/>
  </r>
  <r>
    <x v="409"/>
  </r>
  <r>
    <x v="409"/>
  </r>
  <r>
    <x v="409"/>
  </r>
  <r>
    <x v="80"/>
  </r>
  <r>
    <x v="80"/>
  </r>
  <r>
    <x v="80"/>
  </r>
  <r>
    <x v="448"/>
  </r>
  <r>
    <x v="448"/>
  </r>
  <r>
    <x v="522"/>
  </r>
  <r>
    <x v="248"/>
  </r>
  <r>
    <x v="18"/>
  </r>
  <r>
    <x v="18"/>
  </r>
  <r>
    <x v="113"/>
  </r>
  <r>
    <x v="113"/>
  </r>
  <r>
    <x v="113"/>
  </r>
  <r>
    <x v="735"/>
  </r>
  <r>
    <x v="735"/>
  </r>
  <r>
    <x v="735"/>
  </r>
  <r>
    <x v="735"/>
  </r>
  <r>
    <x v="735"/>
  </r>
  <r>
    <x v="579"/>
  </r>
  <r>
    <x v="367"/>
  </r>
  <r>
    <x v="367"/>
  </r>
  <r>
    <x v="367"/>
  </r>
  <r>
    <x v="688"/>
  </r>
  <r>
    <x v="688"/>
  </r>
  <r>
    <x v="372"/>
  </r>
  <r>
    <x v="138"/>
  </r>
  <r>
    <x v="138"/>
  </r>
  <r>
    <x v="138"/>
  </r>
  <r>
    <x v="59"/>
  </r>
  <r>
    <x v="59"/>
  </r>
  <r>
    <x v="59"/>
  </r>
  <r>
    <x v="59"/>
  </r>
  <r>
    <x v="288"/>
  </r>
  <r>
    <x v="288"/>
  </r>
  <r>
    <x v="288"/>
  </r>
  <r>
    <x v="288"/>
  </r>
  <r>
    <x v="405"/>
  </r>
  <r>
    <x v="225"/>
  </r>
  <r>
    <x v="80"/>
  </r>
  <r>
    <x v="80"/>
  </r>
  <r>
    <x v="512"/>
  </r>
  <r>
    <x v="512"/>
  </r>
  <r>
    <x v="52"/>
  </r>
  <r>
    <x v="37"/>
  </r>
  <r>
    <x v="115"/>
  </r>
  <r>
    <x v="115"/>
  </r>
  <r>
    <x v="115"/>
  </r>
  <r>
    <x v="115"/>
  </r>
  <r>
    <x v="115"/>
  </r>
  <r>
    <x v="684"/>
  </r>
  <r>
    <x v="684"/>
  </r>
  <r>
    <x v="684"/>
  </r>
  <r>
    <x v="444"/>
  </r>
  <r>
    <x v="247"/>
  </r>
  <r>
    <x v="247"/>
  </r>
  <r>
    <x v="247"/>
  </r>
  <r>
    <x v="130"/>
  </r>
  <r>
    <x v="130"/>
  </r>
  <r>
    <x v="224"/>
  </r>
  <r>
    <x v="224"/>
  </r>
  <r>
    <x v="224"/>
  </r>
  <r>
    <x v="281"/>
  </r>
  <r>
    <x v="556"/>
  </r>
  <r>
    <x v="58"/>
  </r>
  <r>
    <x v="58"/>
  </r>
  <r>
    <x v="6"/>
  </r>
  <r>
    <x v="318"/>
  </r>
  <r>
    <x v="318"/>
  </r>
  <r>
    <x v="318"/>
  </r>
  <r>
    <x v="318"/>
  </r>
  <r>
    <x v="772"/>
  </r>
  <r>
    <x v="335"/>
  </r>
  <r>
    <x v="335"/>
  </r>
  <r>
    <x v="335"/>
  </r>
  <r>
    <x v="335"/>
  </r>
  <r>
    <x v="506"/>
  </r>
  <r>
    <x v="566"/>
  </r>
  <r>
    <x v="566"/>
  </r>
  <r>
    <x v="240"/>
  </r>
  <r>
    <x v="101"/>
  </r>
  <r>
    <x v="233"/>
  </r>
  <r>
    <x v="233"/>
  </r>
  <r>
    <x v="281"/>
  </r>
  <r>
    <x v="132"/>
  </r>
  <r>
    <x v="132"/>
  </r>
  <r>
    <x v="229"/>
  </r>
  <r>
    <x v="229"/>
  </r>
  <r>
    <x v="229"/>
  </r>
  <r>
    <x v="416"/>
  </r>
  <r>
    <x v="620"/>
  </r>
  <r>
    <x v="620"/>
  </r>
  <r>
    <x v="99"/>
  </r>
  <r>
    <x v="657"/>
  </r>
  <r>
    <x v="604"/>
  </r>
  <r>
    <x v="495"/>
  </r>
  <r>
    <x v="495"/>
  </r>
  <r>
    <x v="507"/>
  </r>
  <r>
    <x v="507"/>
  </r>
  <r>
    <x v="507"/>
  </r>
  <r>
    <x v="548"/>
  </r>
  <r>
    <x v="548"/>
  </r>
  <r>
    <x v="450"/>
  </r>
  <r>
    <x v="450"/>
  </r>
  <r>
    <x v="606"/>
  </r>
  <r>
    <x v="606"/>
  </r>
  <r>
    <x v="742"/>
  </r>
  <r>
    <x v="618"/>
  </r>
  <r>
    <x v="505"/>
  </r>
  <r>
    <x v="505"/>
  </r>
  <r>
    <x v="505"/>
  </r>
  <r>
    <x v="505"/>
  </r>
  <r>
    <x v="664"/>
  </r>
  <r>
    <x v="664"/>
  </r>
  <r>
    <x v="664"/>
  </r>
  <r>
    <x v="588"/>
  </r>
  <r>
    <x v="588"/>
  </r>
  <r>
    <x v="588"/>
  </r>
  <r>
    <x v="436"/>
  </r>
  <r>
    <x v="73"/>
  </r>
  <r>
    <x v="75"/>
  </r>
  <r>
    <x v="323"/>
  </r>
  <r>
    <x v="681"/>
  </r>
  <r>
    <x v="681"/>
  </r>
  <r>
    <x v="681"/>
  </r>
  <r>
    <x v="755"/>
  </r>
  <r>
    <x v="220"/>
  </r>
  <r>
    <x v="698"/>
  </r>
  <r>
    <x v="698"/>
  </r>
  <r>
    <x v="698"/>
  </r>
  <r>
    <x v="698"/>
  </r>
  <r>
    <x v="698"/>
  </r>
  <r>
    <x v="314"/>
  </r>
  <r>
    <x v="314"/>
  </r>
  <r>
    <x v="445"/>
  </r>
  <r>
    <x v="445"/>
  </r>
  <r>
    <x v="178"/>
  </r>
  <r>
    <x v="628"/>
  </r>
  <r>
    <x v="252"/>
  </r>
  <r>
    <x v="186"/>
  </r>
  <r>
    <x v="531"/>
  </r>
  <r>
    <x v="531"/>
  </r>
  <r>
    <x v="531"/>
  </r>
  <r>
    <x v="245"/>
  </r>
  <r>
    <x v="245"/>
  </r>
  <r>
    <x v="245"/>
  </r>
  <r>
    <x v="245"/>
  </r>
  <r>
    <x v="245"/>
  </r>
  <r>
    <x v="245"/>
  </r>
  <r>
    <x v="245"/>
  </r>
  <r>
    <x v="245"/>
  </r>
  <r>
    <x v="549"/>
  </r>
  <r>
    <x v="549"/>
  </r>
  <r>
    <x v="549"/>
  </r>
  <r>
    <x v="690"/>
  </r>
  <r>
    <x v="754"/>
  </r>
  <r>
    <x v="754"/>
  </r>
  <r>
    <x v="284"/>
  </r>
  <r>
    <x v="189"/>
  </r>
  <r>
    <x v="783"/>
  </r>
  <r>
    <x v="200"/>
  </r>
  <r>
    <x v="200"/>
  </r>
  <r>
    <x v="313"/>
  </r>
  <r>
    <x v="579"/>
  </r>
  <r>
    <x v="270"/>
  </r>
  <r>
    <x v="292"/>
  </r>
  <r>
    <x v="292"/>
  </r>
  <r>
    <x v="112"/>
  </r>
  <r>
    <x v="495"/>
  </r>
  <r>
    <x v="495"/>
  </r>
  <r>
    <x v="495"/>
  </r>
  <r>
    <x v="395"/>
  </r>
  <r>
    <x v="346"/>
  </r>
  <r>
    <x v="473"/>
  </r>
  <r>
    <x v="473"/>
  </r>
  <r>
    <x v="251"/>
  </r>
  <r>
    <x v="251"/>
  </r>
  <r>
    <x v="251"/>
  </r>
  <r>
    <x v="690"/>
  </r>
  <r>
    <x v="690"/>
  </r>
  <r>
    <x v="690"/>
  </r>
  <r>
    <x v="479"/>
  </r>
  <r>
    <x v="643"/>
  </r>
  <r>
    <x v="428"/>
  </r>
  <r>
    <x v="428"/>
  </r>
  <r>
    <x v="428"/>
  </r>
  <r>
    <x v="573"/>
  </r>
  <r>
    <x v="346"/>
  </r>
  <r>
    <x v="319"/>
  </r>
  <r>
    <x v="37"/>
  </r>
  <r>
    <x v="49"/>
  </r>
  <r>
    <x v="649"/>
  </r>
  <r>
    <x v="649"/>
  </r>
  <r>
    <x v="649"/>
  </r>
  <r>
    <x v="434"/>
  </r>
  <r>
    <x v="22"/>
  </r>
  <r>
    <x v="265"/>
  </r>
  <r>
    <x v="288"/>
  </r>
  <r>
    <x v="288"/>
  </r>
  <r>
    <x v="288"/>
  </r>
  <r>
    <x v="288"/>
  </r>
  <r>
    <x v="288"/>
  </r>
  <r>
    <x v="61"/>
  </r>
  <r>
    <x v="23"/>
  </r>
  <r>
    <x v="23"/>
  </r>
  <r>
    <x v="23"/>
  </r>
  <r>
    <x v="23"/>
  </r>
  <r>
    <x v="23"/>
  </r>
  <r>
    <x v="368"/>
  </r>
  <r>
    <x v="456"/>
  </r>
  <r>
    <x v="5"/>
  </r>
  <r>
    <x v="5"/>
  </r>
  <r>
    <x v="242"/>
  </r>
  <r>
    <x v="242"/>
  </r>
  <r>
    <x v="242"/>
  </r>
  <r>
    <x v="242"/>
  </r>
  <r>
    <x v="164"/>
  </r>
  <r>
    <x v="459"/>
  </r>
  <r>
    <x v="417"/>
  </r>
  <r>
    <x v="417"/>
  </r>
  <r>
    <x v="350"/>
  </r>
  <r>
    <x v="26"/>
  </r>
  <r>
    <x v="26"/>
  </r>
  <r>
    <x v="26"/>
  </r>
  <r>
    <x v="194"/>
  </r>
  <r>
    <x v="581"/>
  </r>
  <r>
    <x v="786"/>
  </r>
  <r>
    <x v="210"/>
  </r>
  <r>
    <x v="723"/>
  </r>
  <r>
    <x v="222"/>
  </r>
  <r>
    <x v="222"/>
  </r>
  <r>
    <x v="222"/>
  </r>
  <r>
    <x v="94"/>
  </r>
  <r>
    <x v="93"/>
  </r>
  <r>
    <x v="93"/>
  </r>
  <r>
    <x v="93"/>
  </r>
  <r>
    <x v="93"/>
  </r>
  <r>
    <x v="93"/>
  </r>
  <r>
    <x v="93"/>
  </r>
  <r>
    <x v="93"/>
  </r>
  <r>
    <x v="364"/>
  </r>
  <r>
    <x v="364"/>
  </r>
  <r>
    <x v="595"/>
  </r>
  <r>
    <x v="264"/>
  </r>
  <r>
    <x v="264"/>
  </r>
  <r>
    <x v="264"/>
  </r>
  <r>
    <x v="264"/>
  </r>
  <r>
    <x v="350"/>
  </r>
  <r>
    <x v="350"/>
  </r>
  <r>
    <x v="314"/>
  </r>
  <r>
    <x v="314"/>
  </r>
  <r>
    <x v="314"/>
  </r>
  <r>
    <x v="521"/>
  </r>
  <r>
    <x v="349"/>
  </r>
  <r>
    <x v="349"/>
  </r>
  <r>
    <x v="375"/>
  </r>
  <r>
    <x v="413"/>
  </r>
  <r>
    <x v="413"/>
  </r>
  <r>
    <x v="465"/>
  </r>
  <r>
    <x v="465"/>
  </r>
  <r>
    <x v="465"/>
  </r>
  <r>
    <x v="371"/>
  </r>
  <r>
    <x v="50"/>
  </r>
  <r>
    <x v="50"/>
  </r>
  <r>
    <x v="583"/>
  </r>
  <r>
    <x v="583"/>
  </r>
  <r>
    <x v="646"/>
  </r>
  <r>
    <x v="444"/>
  </r>
  <r>
    <x v="444"/>
  </r>
  <r>
    <x v="251"/>
  </r>
  <r>
    <x v="251"/>
  </r>
  <r>
    <x v="456"/>
  </r>
  <r>
    <x v="456"/>
  </r>
  <r>
    <x v="456"/>
  </r>
  <r>
    <x v="121"/>
  </r>
  <r>
    <x v="121"/>
  </r>
  <r>
    <x v="121"/>
  </r>
  <r>
    <x v="35"/>
  </r>
  <r>
    <x v="35"/>
  </r>
  <r>
    <x v="763"/>
  </r>
  <r>
    <x v="763"/>
  </r>
  <r>
    <x v="208"/>
  </r>
  <r>
    <x v="208"/>
  </r>
  <r>
    <x v="546"/>
  </r>
  <r>
    <x v="546"/>
  </r>
  <r>
    <x v="617"/>
  </r>
  <r>
    <x v="617"/>
  </r>
  <r>
    <x v="43"/>
  </r>
  <r>
    <x v="43"/>
  </r>
  <r>
    <x v="137"/>
  </r>
  <r>
    <x v="194"/>
  </r>
  <r>
    <x v="194"/>
  </r>
  <r>
    <x v="83"/>
  </r>
  <r>
    <x v="83"/>
  </r>
  <r>
    <x v="469"/>
  </r>
  <r>
    <x v="469"/>
  </r>
  <r>
    <x v="469"/>
  </r>
  <r>
    <x v="284"/>
  </r>
  <r>
    <x v="485"/>
  </r>
  <r>
    <x v="485"/>
  </r>
  <r>
    <x v="485"/>
  </r>
  <r>
    <x v="519"/>
  </r>
  <r>
    <x v="81"/>
  </r>
  <r>
    <x v="337"/>
  </r>
  <r>
    <x v="740"/>
  </r>
  <r>
    <x v="62"/>
  </r>
  <r>
    <x v="62"/>
  </r>
  <r>
    <x v="208"/>
  </r>
  <r>
    <x v="208"/>
  </r>
  <r>
    <x v="543"/>
  </r>
  <r>
    <x v="543"/>
  </r>
  <r>
    <x v="73"/>
  </r>
  <r>
    <x v="256"/>
  </r>
  <r>
    <x v="770"/>
  </r>
  <r>
    <x v="770"/>
  </r>
  <r>
    <x v="770"/>
  </r>
  <r>
    <x v="481"/>
  </r>
  <r>
    <x v="667"/>
  </r>
  <r>
    <x v="417"/>
  </r>
  <r>
    <x v="635"/>
  </r>
  <r>
    <x v="128"/>
  </r>
  <r>
    <x v="128"/>
  </r>
  <r>
    <x v="128"/>
  </r>
  <r>
    <x v="674"/>
  </r>
  <r>
    <x v="377"/>
  </r>
  <r>
    <x v="236"/>
  </r>
  <r>
    <x v="393"/>
  </r>
  <r>
    <x v="393"/>
  </r>
  <r>
    <x v="696"/>
  </r>
  <r>
    <x v="696"/>
  </r>
  <r>
    <x v="445"/>
  </r>
  <r>
    <x v="134"/>
  </r>
  <r>
    <x v="134"/>
  </r>
  <r>
    <x v="134"/>
  </r>
  <r>
    <x v="134"/>
  </r>
  <r>
    <x v="415"/>
  </r>
  <r>
    <x v="217"/>
  </r>
  <r>
    <x v="203"/>
  </r>
  <r>
    <x v="203"/>
  </r>
  <r>
    <x v="203"/>
  </r>
  <r>
    <x v="78"/>
  </r>
  <r>
    <x v="116"/>
  </r>
  <r>
    <x v="116"/>
  </r>
  <r>
    <x v="189"/>
  </r>
  <r>
    <x v="452"/>
  </r>
  <r>
    <x v="494"/>
  </r>
  <r>
    <x v="494"/>
  </r>
  <r>
    <x v="494"/>
  </r>
  <r>
    <x v="494"/>
  </r>
  <r>
    <x v="696"/>
  </r>
  <r>
    <x v="696"/>
  </r>
  <r>
    <x v="696"/>
  </r>
  <r>
    <x v="297"/>
  </r>
  <r>
    <x v="297"/>
  </r>
  <r>
    <x v="297"/>
  </r>
  <r>
    <x v="665"/>
  </r>
  <r>
    <x v="320"/>
  </r>
  <r>
    <x v="565"/>
  </r>
  <r>
    <x v="565"/>
  </r>
  <r>
    <x v="292"/>
  </r>
  <r>
    <x v="292"/>
  </r>
  <r>
    <x v="292"/>
  </r>
  <r>
    <x v="762"/>
  </r>
  <r>
    <x v="405"/>
  </r>
  <r>
    <x v="426"/>
  </r>
  <r>
    <x v="37"/>
  </r>
  <r>
    <x v="432"/>
  </r>
  <r>
    <x v="432"/>
  </r>
  <r>
    <x v="432"/>
  </r>
  <r>
    <x v="303"/>
  </r>
  <r>
    <x v="303"/>
  </r>
  <r>
    <x v="787"/>
  </r>
  <r>
    <x v="787"/>
  </r>
  <r>
    <x v="598"/>
  </r>
  <r>
    <x v="122"/>
  </r>
  <r>
    <x v="136"/>
  </r>
  <r>
    <x v="136"/>
  </r>
  <r>
    <x v="103"/>
  </r>
  <r>
    <x v="381"/>
  </r>
  <r>
    <x v="381"/>
  </r>
  <r>
    <x v="381"/>
  </r>
  <r>
    <x v="412"/>
  </r>
  <r>
    <x v="412"/>
  </r>
  <r>
    <x v="412"/>
  </r>
  <r>
    <x v="412"/>
  </r>
  <r>
    <x v="365"/>
  </r>
  <r>
    <x v="365"/>
  </r>
  <r>
    <x v="337"/>
  </r>
  <r>
    <x v="122"/>
  </r>
  <r>
    <x v="627"/>
  </r>
  <r>
    <x v="578"/>
  </r>
  <r>
    <x v="637"/>
  </r>
  <r>
    <x v="637"/>
  </r>
  <r>
    <x v="637"/>
  </r>
  <r>
    <x v="637"/>
  </r>
  <r>
    <x v="637"/>
  </r>
  <r>
    <x v="105"/>
  </r>
  <r>
    <x v="470"/>
  </r>
  <r>
    <x v="470"/>
  </r>
  <r>
    <x v="475"/>
  </r>
  <r>
    <x v="487"/>
  </r>
  <r>
    <x v="349"/>
  </r>
  <r>
    <x v="634"/>
  </r>
  <r>
    <x v="556"/>
  </r>
  <r>
    <x v="556"/>
  </r>
  <r>
    <x v="556"/>
  </r>
  <r>
    <x v="556"/>
  </r>
  <r>
    <x v="556"/>
  </r>
  <r>
    <x v="556"/>
  </r>
  <r>
    <x v="372"/>
  </r>
  <r>
    <x v="210"/>
  </r>
  <r>
    <x v="210"/>
  </r>
  <r>
    <x v="210"/>
  </r>
  <r>
    <x v="381"/>
  </r>
  <r>
    <x v="788"/>
  </r>
  <r>
    <x v="788"/>
  </r>
  <r>
    <x v="788"/>
  </r>
  <r>
    <x v="788"/>
  </r>
  <r>
    <x v="339"/>
  </r>
  <r>
    <x v="58"/>
  </r>
  <r>
    <x v="58"/>
  </r>
  <r>
    <x v="58"/>
  </r>
  <r>
    <x v="58"/>
  </r>
  <r>
    <x v="736"/>
  </r>
  <r>
    <x v="736"/>
  </r>
  <r>
    <x v="736"/>
  </r>
  <r>
    <x v="736"/>
  </r>
  <r>
    <x v="736"/>
  </r>
  <r>
    <x v="376"/>
  </r>
  <r>
    <x v="210"/>
  </r>
  <r>
    <x v="270"/>
  </r>
  <r>
    <x v="270"/>
  </r>
  <r>
    <x v="209"/>
  </r>
  <r>
    <x v="88"/>
  </r>
  <r>
    <x v="509"/>
  </r>
  <r>
    <x v="509"/>
  </r>
  <r>
    <x v="509"/>
  </r>
  <r>
    <x v="509"/>
  </r>
  <r>
    <x v="652"/>
  </r>
  <r>
    <x v="215"/>
  </r>
  <r>
    <x v="97"/>
  </r>
  <r>
    <x v="549"/>
  </r>
  <r>
    <x v="448"/>
  </r>
  <r>
    <x v="262"/>
  </r>
  <r>
    <x v="119"/>
  </r>
  <r>
    <x v="119"/>
  </r>
  <r>
    <x v="324"/>
  </r>
  <r>
    <x v="324"/>
  </r>
  <r>
    <x v="178"/>
  </r>
  <r>
    <x v="294"/>
  </r>
  <r>
    <x v="294"/>
  </r>
  <r>
    <x v="390"/>
  </r>
  <r>
    <x v="390"/>
  </r>
  <r>
    <x v="460"/>
  </r>
  <r>
    <x v="460"/>
  </r>
  <r>
    <x v="460"/>
  </r>
  <r>
    <x v="460"/>
  </r>
  <r>
    <x v="460"/>
  </r>
  <r>
    <x v="460"/>
  </r>
  <r>
    <x v="460"/>
  </r>
  <r>
    <x v="154"/>
  </r>
  <r>
    <x v="154"/>
  </r>
  <r>
    <x v="154"/>
  </r>
  <r>
    <x v="154"/>
  </r>
  <r>
    <x v="154"/>
  </r>
  <r>
    <x v="154"/>
  </r>
  <r>
    <x v="226"/>
  </r>
  <r>
    <x v="226"/>
  </r>
  <r>
    <x v="147"/>
  </r>
  <r>
    <x v="147"/>
  </r>
  <r>
    <x v="147"/>
  </r>
  <r>
    <x v="147"/>
  </r>
  <r>
    <x v="147"/>
  </r>
  <r>
    <x v="332"/>
  </r>
  <r>
    <x v="332"/>
  </r>
  <r>
    <x v="332"/>
  </r>
  <r>
    <x v="394"/>
  </r>
  <r>
    <x v="139"/>
  </r>
  <r>
    <x v="40"/>
  </r>
  <r>
    <x v="661"/>
  </r>
  <r>
    <x v="734"/>
  </r>
  <r>
    <x v="734"/>
  </r>
  <r>
    <x v="734"/>
  </r>
  <r>
    <x v="314"/>
  </r>
  <r>
    <x v="202"/>
  </r>
  <r>
    <x v="202"/>
  </r>
  <r>
    <x v="202"/>
  </r>
  <r>
    <x v="202"/>
  </r>
  <r>
    <x v="505"/>
  </r>
  <r>
    <x v="505"/>
  </r>
  <r>
    <x v="505"/>
  </r>
  <r>
    <x v="505"/>
  </r>
  <r>
    <x v="505"/>
  </r>
  <r>
    <x v="9"/>
  </r>
  <r>
    <x v="9"/>
  </r>
  <r>
    <x v="9"/>
  </r>
  <r>
    <x v="246"/>
  </r>
  <r>
    <x v="246"/>
  </r>
  <r>
    <x v="551"/>
  </r>
  <r>
    <x v="551"/>
  </r>
  <r>
    <x v="551"/>
  </r>
  <r>
    <x v="551"/>
  </r>
  <r>
    <x v="551"/>
  </r>
  <r>
    <x v="551"/>
  </r>
  <r>
    <x v="436"/>
  </r>
  <r>
    <x v="278"/>
  </r>
  <r>
    <x v="278"/>
  </r>
  <r>
    <x v="278"/>
  </r>
  <r>
    <x v="581"/>
  </r>
  <r>
    <x v="582"/>
  </r>
  <r>
    <x v="582"/>
  </r>
  <r>
    <x v="746"/>
  </r>
  <r>
    <x v="746"/>
  </r>
  <r>
    <x v="746"/>
  </r>
  <r>
    <x v="481"/>
  </r>
  <r>
    <x v="481"/>
  </r>
  <r>
    <x v="481"/>
  </r>
  <r>
    <x v="481"/>
  </r>
  <r>
    <x v="481"/>
  </r>
  <r>
    <x v="481"/>
  </r>
  <r>
    <x v="481"/>
  </r>
  <r>
    <x v="661"/>
  </r>
  <r>
    <x v="661"/>
  </r>
  <r>
    <x v="661"/>
  </r>
  <r>
    <x v="178"/>
  </r>
  <r>
    <x v="278"/>
  </r>
  <r>
    <x v="278"/>
  </r>
  <r>
    <x v="344"/>
  </r>
  <r>
    <x v="254"/>
  </r>
  <r>
    <x v="254"/>
  </r>
  <r>
    <x v="397"/>
  </r>
  <r>
    <x v="470"/>
  </r>
  <r>
    <x v="34"/>
  </r>
  <r>
    <x v="85"/>
  </r>
  <r>
    <x v="352"/>
  </r>
  <r>
    <x v="352"/>
  </r>
  <r>
    <x v="382"/>
  </r>
  <r>
    <x v="39"/>
  </r>
  <r>
    <x v="706"/>
  </r>
  <r>
    <x v="675"/>
  </r>
  <r>
    <x v="463"/>
  </r>
  <r>
    <x v="463"/>
  </r>
  <r>
    <x v="86"/>
  </r>
  <r>
    <x v="535"/>
  </r>
  <r>
    <x v="745"/>
  </r>
  <r>
    <x v="118"/>
  </r>
  <r>
    <x v="405"/>
  </r>
  <r>
    <x v="405"/>
  </r>
  <r>
    <x v="405"/>
  </r>
  <r>
    <x v="405"/>
  </r>
  <r>
    <x v="405"/>
  </r>
  <r>
    <x v="726"/>
  </r>
  <r>
    <x v="434"/>
  </r>
  <r>
    <x v="434"/>
  </r>
  <r>
    <x v="110"/>
  </r>
  <r>
    <x v="784"/>
  </r>
  <r>
    <x v="784"/>
  </r>
  <r>
    <x v="380"/>
  </r>
  <r>
    <x v="380"/>
  </r>
  <r>
    <x v="380"/>
  </r>
  <r>
    <x v="380"/>
  </r>
  <r>
    <x v="677"/>
  </r>
  <r>
    <x v="719"/>
  </r>
  <r>
    <x v="719"/>
  </r>
  <r>
    <x v="719"/>
  </r>
  <r>
    <x v="643"/>
  </r>
  <r>
    <x v="643"/>
  </r>
  <r>
    <x v="643"/>
  </r>
  <r>
    <x v="60"/>
  </r>
  <r>
    <x v="174"/>
  </r>
  <r>
    <x v="174"/>
  </r>
  <r>
    <x v="95"/>
  </r>
  <r>
    <x v="334"/>
  </r>
  <r>
    <x v="334"/>
  </r>
  <r>
    <x v="334"/>
  </r>
  <r>
    <x v="334"/>
  </r>
  <r>
    <x v="339"/>
  </r>
  <r>
    <x v="154"/>
  </r>
  <r>
    <x v="154"/>
  </r>
  <r>
    <x v="529"/>
  </r>
  <r>
    <x v="705"/>
  </r>
  <r>
    <x v="400"/>
  </r>
  <r>
    <x v="469"/>
  </r>
  <r>
    <x v="682"/>
  </r>
  <r>
    <x v="574"/>
  </r>
  <r>
    <x v="574"/>
  </r>
  <r>
    <x v="465"/>
  </r>
  <r>
    <x v="465"/>
  </r>
  <r>
    <x v="193"/>
  </r>
  <r>
    <x v="162"/>
  </r>
  <r>
    <x v="162"/>
  </r>
  <r>
    <x v="162"/>
  </r>
  <r>
    <x v="372"/>
  </r>
  <r>
    <x v="420"/>
  </r>
  <r>
    <x v="322"/>
  </r>
  <r>
    <x v="322"/>
  </r>
  <r>
    <x v="252"/>
  </r>
  <r>
    <x v="699"/>
  </r>
  <r>
    <x v="693"/>
  </r>
  <r>
    <x v="664"/>
  </r>
  <r>
    <x v="664"/>
  </r>
  <r>
    <x v="208"/>
  </r>
  <r>
    <x v="579"/>
  </r>
  <r>
    <x v="759"/>
  </r>
  <r>
    <x v="764"/>
  </r>
  <r>
    <x v="312"/>
  </r>
  <r>
    <x v="312"/>
  </r>
  <r>
    <x v="312"/>
  </r>
  <r>
    <x v="203"/>
  </r>
  <r>
    <x v="327"/>
  </r>
  <r>
    <x v="99"/>
  </r>
  <r>
    <x v="99"/>
  </r>
  <r>
    <x v="99"/>
  </r>
  <r>
    <x v="9"/>
  </r>
  <r>
    <x v="9"/>
  </r>
  <r>
    <x v="735"/>
  </r>
  <r>
    <x v="146"/>
  </r>
  <r>
    <x v="146"/>
  </r>
  <r>
    <x v="146"/>
  </r>
  <r>
    <x v="489"/>
  </r>
  <r>
    <x v="667"/>
  </r>
  <r>
    <x v="677"/>
  </r>
  <r>
    <x v="677"/>
  </r>
  <r>
    <x v="144"/>
  </r>
  <r>
    <x v="144"/>
  </r>
  <r>
    <x v="204"/>
  </r>
  <r>
    <x v="550"/>
  </r>
  <r>
    <x v="74"/>
  </r>
  <r>
    <x v="74"/>
  </r>
  <r>
    <x v="506"/>
  </r>
  <r>
    <x v="506"/>
  </r>
  <r>
    <x v="506"/>
  </r>
  <r>
    <x v="506"/>
  </r>
  <r>
    <x v="506"/>
  </r>
  <r>
    <x v="506"/>
  </r>
  <r>
    <x v="506"/>
  </r>
  <r>
    <x v="506"/>
  </r>
  <r>
    <x v="325"/>
  </r>
  <r>
    <x v="325"/>
  </r>
  <r>
    <x v="325"/>
  </r>
  <r>
    <x v="571"/>
  </r>
  <r>
    <x v="472"/>
  </r>
  <r>
    <x v="472"/>
  </r>
  <r>
    <x v="472"/>
  </r>
  <r>
    <x v="472"/>
  </r>
  <r>
    <x v="108"/>
  </r>
  <r>
    <x v="694"/>
  </r>
  <r>
    <x v="356"/>
  </r>
  <r>
    <x v="176"/>
  </r>
  <r>
    <x v="176"/>
  </r>
  <r>
    <x v="653"/>
  </r>
  <r>
    <x v="653"/>
  </r>
  <r>
    <x v="653"/>
  </r>
  <r>
    <x v="613"/>
  </r>
  <r>
    <x v="613"/>
  </r>
  <r>
    <x v="613"/>
  </r>
  <r>
    <x v="613"/>
  </r>
  <r>
    <x v="613"/>
  </r>
  <r>
    <x v="613"/>
  </r>
  <r>
    <x v="144"/>
  </r>
  <r>
    <x v="144"/>
  </r>
  <r>
    <x v="144"/>
  </r>
  <r>
    <x v="144"/>
  </r>
  <r>
    <x v="435"/>
  </r>
  <r>
    <x v="521"/>
  </r>
  <r>
    <x v="284"/>
  </r>
  <r>
    <x v="284"/>
  </r>
  <r>
    <x v="284"/>
  </r>
  <r>
    <x v="284"/>
  </r>
  <r>
    <x v="284"/>
  </r>
  <r>
    <x v="284"/>
  </r>
  <r>
    <x v="284"/>
  </r>
  <r>
    <x v="377"/>
  </r>
  <r>
    <x v="377"/>
  </r>
  <r>
    <x v="744"/>
  </r>
  <r>
    <x v="229"/>
  </r>
  <r>
    <x v="729"/>
  </r>
  <r>
    <x v="731"/>
  </r>
  <r>
    <x v="605"/>
  </r>
  <r>
    <x v="605"/>
  </r>
  <r>
    <x v="150"/>
  </r>
  <r>
    <x v="150"/>
  </r>
  <r>
    <x v="303"/>
  </r>
  <r>
    <x v="303"/>
  </r>
  <r>
    <x v="341"/>
  </r>
  <r>
    <x v="341"/>
  </r>
  <r>
    <x v="341"/>
  </r>
  <r>
    <x v="341"/>
  </r>
  <r>
    <x v="341"/>
  </r>
  <r>
    <x v="717"/>
  </r>
  <r>
    <x v="602"/>
  </r>
  <r>
    <x v="602"/>
  </r>
  <r>
    <x v="602"/>
  </r>
  <r>
    <x v="602"/>
  </r>
  <r>
    <x v="602"/>
  </r>
  <r>
    <x v="602"/>
  </r>
  <r>
    <x v="602"/>
  </r>
  <r>
    <x v="537"/>
  </r>
  <r>
    <x v="537"/>
  </r>
  <r>
    <x v="537"/>
  </r>
  <r>
    <x v="537"/>
  </r>
  <r>
    <x v="537"/>
  </r>
  <r>
    <x v="277"/>
  </r>
  <r>
    <x v="277"/>
  </r>
  <r>
    <x v="277"/>
  </r>
  <r>
    <x v="155"/>
  </r>
  <r>
    <x v="698"/>
  </r>
  <r>
    <x v="698"/>
  </r>
  <r>
    <x v="598"/>
  </r>
  <r>
    <x v="598"/>
  </r>
  <r>
    <x v="598"/>
  </r>
  <r>
    <x v="137"/>
  </r>
  <r>
    <x v="74"/>
  </r>
  <r>
    <x v="773"/>
  </r>
  <r>
    <x v="403"/>
  </r>
  <r>
    <x v="256"/>
  </r>
  <r>
    <x v="712"/>
  </r>
  <r>
    <x v="445"/>
  </r>
  <r>
    <x v="344"/>
  </r>
  <r>
    <x v="654"/>
  </r>
  <r>
    <x v="382"/>
  </r>
  <r>
    <x v="382"/>
  </r>
  <r>
    <x v="382"/>
  </r>
  <r>
    <x v="73"/>
  </r>
  <r>
    <x v="722"/>
  </r>
  <r>
    <x v="40"/>
  </r>
  <r>
    <x v="217"/>
  </r>
  <r>
    <x v="217"/>
  </r>
  <r>
    <x v="217"/>
  </r>
  <r>
    <x v="378"/>
  </r>
  <r>
    <x v="378"/>
  </r>
  <r>
    <x v="378"/>
  </r>
  <r>
    <x v="378"/>
  </r>
  <r>
    <x v="378"/>
  </r>
  <r>
    <x v="378"/>
  </r>
  <r>
    <x v="378"/>
  </r>
  <r>
    <x v="128"/>
  </r>
  <r>
    <x v="128"/>
  </r>
  <r>
    <x v="128"/>
  </r>
  <r>
    <x v="729"/>
  </r>
  <r>
    <x v="507"/>
  </r>
  <r>
    <x v="507"/>
  </r>
  <r>
    <x v="507"/>
  </r>
  <r>
    <x v="500"/>
  </r>
  <r>
    <x v="500"/>
  </r>
  <r>
    <x v="774"/>
  </r>
  <r>
    <x v="774"/>
  </r>
  <r>
    <x v="774"/>
  </r>
  <r>
    <x v="784"/>
  </r>
  <r>
    <x v="222"/>
  </r>
  <r>
    <x v="487"/>
  </r>
  <r>
    <x v="487"/>
  </r>
  <r>
    <x v="487"/>
  </r>
  <r>
    <x v="487"/>
  </r>
  <r>
    <x v="487"/>
  </r>
  <r>
    <x v="611"/>
  </r>
  <r>
    <x v="611"/>
  </r>
  <r>
    <x v="406"/>
  </r>
  <r>
    <x v="406"/>
  </r>
  <r>
    <x v="41"/>
  </r>
  <r>
    <x v="738"/>
  </r>
  <r>
    <x v="738"/>
  </r>
  <r>
    <x v="364"/>
  </r>
  <r>
    <x v="9"/>
  </r>
  <r>
    <x v="528"/>
  </r>
  <r>
    <x v="0"/>
  </r>
  <r>
    <x v="631"/>
  </r>
  <r>
    <x v="444"/>
  </r>
  <r>
    <x v="376"/>
  </r>
  <r>
    <x v="376"/>
  </r>
  <r>
    <x v="376"/>
  </r>
  <r>
    <x v="145"/>
  </r>
  <r>
    <x v="386"/>
  </r>
  <r>
    <x v="696"/>
  </r>
  <r>
    <x v="696"/>
  </r>
  <r>
    <x v="696"/>
  </r>
  <r>
    <x v="696"/>
  </r>
  <r>
    <x v="696"/>
  </r>
  <r>
    <x v="696"/>
  </r>
  <r>
    <x v="696"/>
  </r>
  <r>
    <x v="696"/>
  </r>
  <r>
    <x v="613"/>
  </r>
  <r>
    <x v="43"/>
  </r>
  <r>
    <x v="624"/>
  </r>
  <r>
    <x v="624"/>
  </r>
  <r>
    <x v="582"/>
  </r>
  <r>
    <x v="61"/>
  </r>
  <r>
    <x v="61"/>
  </r>
  <r>
    <x v="61"/>
  </r>
  <r>
    <x v="61"/>
  </r>
  <r>
    <x v="573"/>
  </r>
  <r>
    <x v="573"/>
  </r>
  <r>
    <x v="342"/>
  </r>
  <r>
    <x v="342"/>
  </r>
  <r>
    <x v="552"/>
  </r>
  <r>
    <x v="552"/>
  </r>
  <r>
    <x v="552"/>
  </r>
  <r>
    <x v="548"/>
  </r>
  <r>
    <x v="602"/>
  </r>
  <r>
    <x v="467"/>
  </r>
  <r>
    <x v="467"/>
  </r>
  <r>
    <x v="556"/>
  </r>
  <r>
    <x v="63"/>
  </r>
  <r>
    <x v="299"/>
  </r>
  <r>
    <x v="299"/>
  </r>
  <r>
    <x v="497"/>
  </r>
  <r>
    <x v="620"/>
  </r>
  <r>
    <x v="620"/>
  </r>
  <r>
    <x v="588"/>
  </r>
  <r>
    <x v="282"/>
  </r>
  <r>
    <x v="7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N5:O18"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formats count="12">
    <format dxfId="11">
      <pivotArea collapsedLevelsAreSubtotals="1" fieldPosition="0">
        <references count="1">
          <reference field="9" count="1">
            <x v="0"/>
          </reference>
        </references>
      </pivotArea>
    </format>
    <format dxfId="10">
      <pivotArea collapsedLevelsAreSubtotals="1" fieldPosition="0">
        <references count="1">
          <reference field="9" count="1">
            <x v="1"/>
          </reference>
        </references>
      </pivotArea>
    </format>
    <format dxfId="9">
      <pivotArea collapsedLevelsAreSubtotals="1" fieldPosition="0">
        <references count="1">
          <reference field="9" count="1">
            <x v="2"/>
          </reference>
        </references>
      </pivotArea>
    </format>
    <format dxfId="8">
      <pivotArea collapsedLevelsAreSubtotals="1" fieldPosition="0">
        <references count="1">
          <reference field="9" count="1">
            <x v="3"/>
          </reference>
        </references>
      </pivotArea>
    </format>
    <format dxfId="7">
      <pivotArea collapsedLevelsAreSubtotals="1" fieldPosition="0">
        <references count="1">
          <reference field="9" count="1">
            <x v="4"/>
          </reference>
        </references>
      </pivotArea>
    </format>
    <format dxfId="6">
      <pivotArea collapsedLevelsAreSubtotals="1" fieldPosition="0">
        <references count="1">
          <reference field="9" count="1">
            <x v="5"/>
          </reference>
        </references>
      </pivotArea>
    </format>
    <format dxfId="5">
      <pivotArea collapsedLevelsAreSubtotals="1" fieldPosition="0">
        <references count="1">
          <reference field="9" count="1">
            <x v="6"/>
          </reference>
        </references>
      </pivotArea>
    </format>
    <format dxfId="4">
      <pivotArea collapsedLevelsAreSubtotals="1" fieldPosition="0">
        <references count="1">
          <reference field="9" count="1">
            <x v="7"/>
          </reference>
        </references>
      </pivotArea>
    </format>
    <format dxfId="3">
      <pivotArea collapsedLevelsAreSubtotals="1" fieldPosition="0">
        <references count="1">
          <reference field="9" count="1">
            <x v="8"/>
          </reference>
        </references>
      </pivotArea>
    </format>
    <format dxfId="2">
      <pivotArea collapsedLevelsAreSubtotals="1" fieldPosition="0">
        <references count="1">
          <reference field="9" count="1">
            <x v="9"/>
          </reference>
        </references>
      </pivotArea>
    </format>
    <format dxfId="1">
      <pivotArea collapsedLevelsAreSubtotals="1" fieldPosition="0">
        <references count="1">
          <reference field="9" count="1">
            <x v="10"/>
          </reference>
        </references>
      </pivotArea>
    </format>
    <format dxfId="0">
      <pivotArea collapsedLevelsAreSubtotals="1" fieldPosition="0">
        <references count="1">
          <reference field="9" count="1">
            <x v="11"/>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K5:L11"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4:F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B3:C8" firstHeaderRow="1" firstDataRow="1" firstDataCol="1"/>
  <pivotFields count="11">
    <pivotField showAll="0"/>
    <pivotField dataField="1"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Count of Customer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14:D31" firstHeaderRow="1" firstDataRow="1" firstDataCol="0"/>
  <pivotFields count="11">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2:B3" firstHeaderRow="1" firstDataRow="1" firstDataCol="0"/>
  <pivotFields count="11">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P4:P795" firstHeaderRow="1" firstDataRow="1" firstDataCol="1"/>
  <pivotFields count="1">
    <pivotField axis="axisRow"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s>
  <rowFields count="1">
    <field x="0"/>
  </rowFields>
  <rowItems count="7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4:K22" firstHeaderRow="1" firstDataRow="1" firstDataCol="1"/>
  <pivotFields count="11">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3:H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7:B8" firstHeaderRow="1" firstDataRow="1" firstDataCol="0"/>
  <pivotFields count="11">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10"/>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5" name="PivotTable10"/>
  </pivotTables>
  <data>
    <tabular pivotCacheId="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5" name="PivotTable10"/>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Light5" rowHeight="230716"/>
  <slicer name="Month" cache="Slicer_Month" caption="Month" style="SlicerStyleLight5" rowHeight="230716"/>
  <slicer name="Year" cache="Slicer_Year" caption="Year" style="SlicerStyleDark5" rowHeight="230716"/>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SlicerStyleLight5" rowHeight="230716"/>
  <slicer name="Month 1" cache="Slicer_Month" caption="Month" style="SlicerStyleLight5" rowHeight="230716"/>
  <slicer name="Year 1" cache="Slicer_Year" caption="Year" style="SlicerStyleDark5"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315"/>
  <sheetViews>
    <sheetView topLeftCell="C1" workbookViewId="0">
      <pane ySplit="1" topLeftCell="A9" activePane="bottomLeft" state="frozen"/>
      <selection pane="bottomLeft" activeCell="L9" sqref="L9"/>
    </sheetView>
  </sheetViews>
  <sheetFormatPr defaultRowHeight="14"/>
  <cols>
    <col min="1" max="1" width="9.58203125" bestFit="1" customWidth="1"/>
    <col min="2" max="2" width="20.33203125" bestFit="1" customWidth="1"/>
    <col min="3" max="3" width="16.75" bestFit="1" customWidth="1"/>
    <col min="4" max="4" width="13" bestFit="1" customWidth="1"/>
    <col min="5" max="5" width="11.75" bestFit="1" customWidth="1"/>
    <col min="6" max="6" width="67.58203125" customWidth="1"/>
    <col min="7" max="7" width="8.83203125" bestFit="1" customWidth="1"/>
    <col min="8" max="8" width="7.6640625" bestFit="1" customWidth="1"/>
    <col min="9" max="9" width="8.5" bestFit="1" customWidth="1"/>
    <col min="10" max="10" width="5.9140625" bestFit="1" customWidth="1"/>
    <col min="11" max="11" width="4.83203125" bestFit="1"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F8307" t="s">
        <v>493</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autoFilter ref="A1:K831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54"/>
  <sheetViews>
    <sheetView topLeftCell="F1" workbookViewId="0">
      <selection activeCell="N5" sqref="N5"/>
    </sheetView>
  </sheetViews>
  <sheetFormatPr defaultRowHeight="14"/>
  <cols>
    <col min="2" max="3" width="22.58203125" bestFit="1" customWidth="1"/>
    <col min="5" max="5" width="16.6640625" bestFit="1" customWidth="1"/>
    <col min="6" max="6" width="12" bestFit="1" customWidth="1"/>
    <col min="8" max="9" width="14.08203125" customWidth="1"/>
    <col min="11" max="11" width="13.08203125" customWidth="1"/>
    <col min="12" max="12" width="11.9140625" bestFit="1" customWidth="1"/>
    <col min="14" max="14" width="12.9140625" bestFit="1" customWidth="1"/>
    <col min="15" max="15" width="12.83203125" bestFit="1" customWidth="1"/>
  </cols>
  <sheetData>
    <row r="2" spans="2:15">
      <c r="B2" s="16" t="s">
        <v>2723</v>
      </c>
      <c r="E2" s="16" t="s">
        <v>2720</v>
      </c>
    </row>
    <row r="3" spans="2:15">
      <c r="B3" s="11" t="s">
        <v>2713</v>
      </c>
      <c r="C3" t="s">
        <v>2719</v>
      </c>
      <c r="E3" s="13"/>
      <c r="H3" t="s">
        <v>2</v>
      </c>
      <c r="I3" t="s">
        <v>6</v>
      </c>
      <c r="K3" s="16" t="s">
        <v>2721</v>
      </c>
      <c r="L3" s="16"/>
    </row>
    <row r="4" spans="2:15">
      <c r="B4" s="12">
        <v>2021</v>
      </c>
      <c r="C4" s="10">
        <v>1992</v>
      </c>
      <c r="E4" s="11" t="s">
        <v>2713</v>
      </c>
      <c r="F4" t="s">
        <v>2710</v>
      </c>
      <c r="H4" t="str">
        <f>E5</f>
        <v>Alabama</v>
      </c>
      <c r="I4">
        <f>F5</f>
        <v>18299.32</v>
      </c>
      <c r="N4" s="16" t="s">
        <v>2722</v>
      </c>
    </row>
    <row r="5" spans="2:15">
      <c r="B5" s="12">
        <v>2022</v>
      </c>
      <c r="C5" s="10">
        <v>2102</v>
      </c>
      <c r="E5" s="12" t="s">
        <v>490</v>
      </c>
      <c r="F5" s="10">
        <v>18299.32</v>
      </c>
      <c r="H5" t="str">
        <f t="shared" ref="H5:H52" si="0">E6</f>
        <v>Arizona</v>
      </c>
      <c r="I5">
        <f t="shared" ref="I5:I52" si="1">F6</f>
        <v>28978.850000000006</v>
      </c>
      <c r="K5" s="11" t="s">
        <v>2713</v>
      </c>
      <c r="L5" t="s">
        <v>2711</v>
      </c>
      <c r="N5" s="11" t="s">
        <v>2713</v>
      </c>
      <c r="O5" t="s">
        <v>2710</v>
      </c>
    </row>
    <row r="6" spans="2:15">
      <c r="B6" s="12">
        <v>2023</v>
      </c>
      <c r="C6" s="10">
        <v>2586</v>
      </c>
      <c r="E6" s="12" t="s">
        <v>97</v>
      </c>
      <c r="F6" s="10">
        <v>28978.850000000006</v>
      </c>
      <c r="H6" t="str">
        <f t="shared" si="0"/>
        <v>Arkansas</v>
      </c>
      <c r="I6">
        <f t="shared" si="1"/>
        <v>9177.42</v>
      </c>
      <c r="K6" s="12" t="s">
        <v>1578</v>
      </c>
      <c r="L6" s="10">
        <v>8981.32</v>
      </c>
      <c r="N6" s="12" t="s">
        <v>2698</v>
      </c>
      <c r="O6" s="15">
        <v>94924.87</v>
      </c>
    </row>
    <row r="7" spans="2:15">
      <c r="B7" s="12">
        <v>2024</v>
      </c>
      <c r="C7" s="10">
        <v>1634</v>
      </c>
      <c r="E7" s="12" t="s">
        <v>103</v>
      </c>
      <c r="F7" s="10">
        <v>9177.42</v>
      </c>
      <c r="H7" t="str">
        <f t="shared" si="0"/>
        <v>California</v>
      </c>
      <c r="I7">
        <f t="shared" si="1"/>
        <v>390145.54000000079</v>
      </c>
      <c r="K7" s="12" t="s">
        <v>2476</v>
      </c>
      <c r="L7" s="10">
        <v>6939.17</v>
      </c>
      <c r="N7" s="12" t="s">
        <v>2699</v>
      </c>
      <c r="O7" s="14">
        <v>59640.160000000018</v>
      </c>
    </row>
    <row r="8" spans="2:15">
      <c r="B8" s="12" t="s">
        <v>2714</v>
      </c>
      <c r="C8" s="10">
        <v>8314</v>
      </c>
      <c r="E8" s="12" t="s">
        <v>29</v>
      </c>
      <c r="F8" s="10">
        <v>390145.54000000079</v>
      </c>
      <c r="H8" t="str">
        <f t="shared" si="0"/>
        <v>Colorado</v>
      </c>
      <c r="I8">
        <f t="shared" si="1"/>
        <v>27113.920000000002</v>
      </c>
      <c r="K8" s="12" t="s">
        <v>195</v>
      </c>
      <c r="L8" s="10">
        <v>5757.42</v>
      </c>
      <c r="N8" s="12" t="s">
        <v>2700</v>
      </c>
      <c r="O8" s="14">
        <v>205005.51000000036</v>
      </c>
    </row>
    <row r="9" spans="2:15">
      <c r="E9" s="12" t="s">
        <v>280</v>
      </c>
      <c r="F9" s="10">
        <v>27113.920000000002</v>
      </c>
      <c r="H9" t="str">
        <f t="shared" si="0"/>
        <v>Connecticut</v>
      </c>
      <c r="I9">
        <f t="shared" si="1"/>
        <v>11471.419999999998</v>
      </c>
      <c r="K9" s="12" t="s">
        <v>1819</v>
      </c>
      <c r="L9" s="10">
        <v>5202.84</v>
      </c>
      <c r="N9" s="12" t="s">
        <v>2701</v>
      </c>
      <c r="O9" s="14">
        <v>137480.78999999989</v>
      </c>
    </row>
    <row r="10" spans="2:15">
      <c r="E10" s="12" t="s">
        <v>615</v>
      </c>
      <c r="F10" s="10">
        <v>11471.419999999998</v>
      </c>
      <c r="H10" t="str">
        <f t="shared" si="0"/>
        <v>Delaware</v>
      </c>
      <c r="I10">
        <f t="shared" si="1"/>
        <v>16302.24</v>
      </c>
      <c r="K10" s="12" t="s">
        <v>1950</v>
      </c>
      <c r="L10" s="10">
        <v>3883.0899999999997</v>
      </c>
      <c r="N10" s="12" t="s">
        <v>2702</v>
      </c>
      <c r="O10" s="14">
        <v>155028.82999999993</v>
      </c>
    </row>
    <row r="11" spans="2:15">
      <c r="E11" s="12" t="s">
        <v>61</v>
      </c>
      <c r="F11" s="10">
        <v>16302.24</v>
      </c>
      <c r="H11" t="str">
        <f t="shared" si="0"/>
        <v>District of Columbia</v>
      </c>
      <c r="I11">
        <f t="shared" si="1"/>
        <v>2865.0199999999995</v>
      </c>
      <c r="K11" s="12" t="s">
        <v>2714</v>
      </c>
      <c r="L11" s="10">
        <v>30763.84</v>
      </c>
      <c r="N11" s="12" t="s">
        <v>2703</v>
      </c>
      <c r="O11" s="14">
        <v>152718.72000000006</v>
      </c>
    </row>
    <row r="12" spans="2:15">
      <c r="E12" s="12" t="s">
        <v>2046</v>
      </c>
      <c r="F12" s="10">
        <v>2865.0199999999995</v>
      </c>
      <c r="H12" t="str">
        <f t="shared" si="0"/>
        <v>Florida</v>
      </c>
      <c r="I12">
        <f t="shared" si="1"/>
        <v>79303.609999999986</v>
      </c>
      <c r="N12" s="12" t="s">
        <v>2704</v>
      </c>
      <c r="O12" s="14">
        <v>147238.11000000004</v>
      </c>
    </row>
    <row r="13" spans="2:15">
      <c r="E13" s="12" t="s">
        <v>125</v>
      </c>
      <c r="F13" s="10">
        <v>79303.609999999986</v>
      </c>
      <c r="H13" t="str">
        <f t="shared" si="0"/>
        <v>Georgia</v>
      </c>
      <c r="I13">
        <f t="shared" si="1"/>
        <v>46346.2</v>
      </c>
      <c r="N13" s="12" t="s">
        <v>2705</v>
      </c>
      <c r="O13" s="14">
        <v>159043.99000000008</v>
      </c>
    </row>
    <row r="14" spans="2:15">
      <c r="B14" s="1"/>
      <c r="C14" s="2"/>
      <c r="D14" s="3"/>
      <c r="E14" s="12" t="s">
        <v>32</v>
      </c>
      <c r="F14" s="10">
        <v>46346.2</v>
      </c>
      <c r="H14" t="str">
        <f t="shared" si="0"/>
        <v>Idaho</v>
      </c>
      <c r="I14">
        <f t="shared" si="1"/>
        <v>3963.4700000000007</v>
      </c>
      <c r="N14" s="12" t="s">
        <v>2706</v>
      </c>
      <c r="O14" s="14">
        <v>219783.30000000057</v>
      </c>
    </row>
    <row r="15" spans="2:15">
      <c r="B15" s="4"/>
      <c r="C15" s="5"/>
      <c r="D15" s="6"/>
      <c r="E15" s="12" t="s">
        <v>512</v>
      </c>
      <c r="F15" s="10">
        <v>3963.4700000000007</v>
      </c>
      <c r="H15" t="str">
        <f t="shared" si="0"/>
        <v>Illinois</v>
      </c>
      <c r="I15">
        <f t="shared" si="1"/>
        <v>68565.030000000072</v>
      </c>
      <c r="N15" s="12" t="s">
        <v>2707</v>
      </c>
      <c r="O15" s="14">
        <v>122546.06999999989</v>
      </c>
    </row>
    <row r="16" spans="2:15">
      <c r="B16" s="4"/>
      <c r="C16" s="5"/>
      <c r="D16" s="6"/>
      <c r="E16" s="12" t="s">
        <v>17</v>
      </c>
      <c r="F16" s="10">
        <v>68565.030000000072</v>
      </c>
      <c r="H16" t="str">
        <f t="shared" si="0"/>
        <v>Indiana</v>
      </c>
      <c r="I16">
        <f t="shared" si="1"/>
        <v>47809.549999999996</v>
      </c>
      <c r="N16" s="12" t="s">
        <v>2708</v>
      </c>
      <c r="O16" s="14">
        <v>234013.28000000012</v>
      </c>
    </row>
    <row r="17" spans="2:15">
      <c r="B17" s="4"/>
      <c r="C17" s="5"/>
      <c r="D17" s="6"/>
      <c r="E17" s="12" t="s">
        <v>131</v>
      </c>
      <c r="F17" s="10">
        <v>47809.549999999996</v>
      </c>
      <c r="H17" t="str">
        <f t="shared" si="0"/>
        <v>Iowa</v>
      </c>
      <c r="I17">
        <f t="shared" si="1"/>
        <v>4476.41</v>
      </c>
      <c r="N17" s="12" t="s">
        <v>2709</v>
      </c>
      <c r="O17" s="14">
        <v>241464.23000000027</v>
      </c>
    </row>
    <row r="18" spans="2:15">
      <c r="B18" s="4"/>
      <c r="C18" s="5"/>
      <c r="D18" s="6"/>
      <c r="E18" s="12" t="s">
        <v>397</v>
      </c>
      <c r="F18" s="10">
        <v>4476.41</v>
      </c>
      <c r="H18" t="str">
        <f t="shared" si="0"/>
        <v>Kansas</v>
      </c>
      <c r="I18">
        <f t="shared" si="1"/>
        <v>2835.0000000000005</v>
      </c>
      <c r="N18" s="12" t="s">
        <v>2714</v>
      </c>
      <c r="O18" s="10">
        <v>1928887.860000001</v>
      </c>
    </row>
    <row r="19" spans="2:15">
      <c r="B19" s="4"/>
      <c r="C19" s="5"/>
      <c r="D19" s="6"/>
      <c r="E19" s="12" t="s">
        <v>1285</v>
      </c>
      <c r="F19" s="10">
        <v>2835.0000000000005</v>
      </c>
      <c r="H19" t="str">
        <f t="shared" si="0"/>
        <v>Kentucky</v>
      </c>
      <c r="I19">
        <f t="shared" si="1"/>
        <v>23650.589999999982</v>
      </c>
    </row>
    <row r="20" spans="2:15">
      <c r="B20" s="4"/>
      <c r="C20" s="5"/>
      <c r="D20" s="6"/>
      <c r="E20" s="12" t="s">
        <v>35</v>
      </c>
      <c r="F20" s="10">
        <v>23650.589999999982</v>
      </c>
      <c r="H20" t="str">
        <f t="shared" si="0"/>
        <v>Louisiana</v>
      </c>
      <c r="I20">
        <f t="shared" si="1"/>
        <v>5297.05</v>
      </c>
    </row>
    <row r="21" spans="2:15">
      <c r="B21" s="4"/>
      <c r="C21" s="5"/>
      <c r="D21" s="6"/>
      <c r="E21" s="12" t="s">
        <v>64</v>
      </c>
      <c r="F21" s="10">
        <v>5297.05</v>
      </c>
      <c r="H21" t="str">
        <f t="shared" si="0"/>
        <v>Maine</v>
      </c>
      <c r="I21">
        <f t="shared" si="1"/>
        <v>1270.5300000000002</v>
      </c>
    </row>
    <row r="22" spans="2:15">
      <c r="B22" s="4"/>
      <c r="C22" s="5"/>
      <c r="D22" s="6"/>
      <c r="E22" s="12" t="s">
        <v>1063</v>
      </c>
      <c r="F22" s="10">
        <v>1270.5300000000002</v>
      </c>
      <c r="H22" t="str">
        <f t="shared" si="0"/>
        <v>Maryland</v>
      </c>
      <c r="I22">
        <f t="shared" si="1"/>
        <v>18580.899999999998</v>
      </c>
    </row>
    <row r="23" spans="2:15">
      <c r="B23" s="4"/>
      <c r="C23" s="5"/>
      <c r="D23" s="6"/>
      <c r="E23" s="12" t="s">
        <v>533</v>
      </c>
      <c r="F23" s="10">
        <v>18580.899999999998</v>
      </c>
      <c r="H23" t="str">
        <f t="shared" si="0"/>
        <v>Massachusetts</v>
      </c>
      <c r="I23">
        <f t="shared" si="1"/>
        <v>23040.059999999998</v>
      </c>
    </row>
    <row r="24" spans="2:15">
      <c r="B24" s="4"/>
      <c r="C24" s="5"/>
      <c r="D24" s="6"/>
      <c r="E24" s="12" t="s">
        <v>436</v>
      </c>
      <c r="F24" s="10">
        <v>23040.059999999998</v>
      </c>
      <c r="H24" t="str">
        <f t="shared" si="0"/>
        <v>Michigan</v>
      </c>
      <c r="I24">
        <f t="shared" si="1"/>
        <v>66559.090000000011</v>
      </c>
    </row>
    <row r="25" spans="2:15">
      <c r="B25" s="4"/>
      <c r="C25" s="5"/>
      <c r="D25" s="6"/>
      <c r="E25" s="12" t="s">
        <v>112</v>
      </c>
      <c r="F25" s="10">
        <v>66559.090000000011</v>
      </c>
      <c r="H25" t="str">
        <f t="shared" si="0"/>
        <v>Minnesota</v>
      </c>
      <c r="I25">
        <f t="shared" si="1"/>
        <v>25069.119999999992</v>
      </c>
    </row>
    <row r="26" spans="2:15">
      <c r="B26" s="4"/>
      <c r="C26" s="5"/>
      <c r="D26" s="6"/>
      <c r="E26" s="12" t="s">
        <v>317</v>
      </c>
      <c r="F26" s="10">
        <v>25069.119999999992</v>
      </c>
      <c r="H26" t="str">
        <f t="shared" si="0"/>
        <v>Mississippi</v>
      </c>
      <c r="I26">
        <f t="shared" si="1"/>
        <v>9528.4400000000023</v>
      </c>
    </row>
    <row r="27" spans="2:15">
      <c r="B27" s="4"/>
      <c r="C27" s="5"/>
      <c r="D27" s="6"/>
      <c r="E27" s="12" t="s">
        <v>331</v>
      </c>
      <c r="F27" s="10">
        <v>9528.4400000000023</v>
      </c>
      <c r="H27" t="str">
        <f t="shared" si="0"/>
        <v>Missouri</v>
      </c>
      <c r="I27">
        <f t="shared" si="1"/>
        <v>18470.039999999997</v>
      </c>
    </row>
    <row r="28" spans="2:15">
      <c r="B28" s="4"/>
      <c r="C28" s="5"/>
      <c r="D28" s="6"/>
      <c r="E28" s="12" t="s">
        <v>188</v>
      </c>
      <c r="F28" s="10">
        <v>18470.039999999997</v>
      </c>
      <c r="H28" t="str">
        <f t="shared" si="0"/>
        <v>Montana</v>
      </c>
      <c r="I28">
        <f t="shared" si="1"/>
        <v>5549.4500000000007</v>
      </c>
    </row>
    <row r="29" spans="2:15">
      <c r="B29" s="4"/>
      <c r="C29" s="5"/>
      <c r="D29" s="6"/>
      <c r="E29" s="12" t="s">
        <v>517</v>
      </c>
      <c r="F29" s="10">
        <v>5549.4500000000007</v>
      </c>
      <c r="H29" t="str">
        <f t="shared" si="0"/>
        <v>Nebraska</v>
      </c>
      <c r="I29">
        <f t="shared" si="1"/>
        <v>4063.0600000000004</v>
      </c>
    </row>
    <row r="30" spans="2:15">
      <c r="B30" s="4"/>
      <c r="C30" s="5"/>
      <c r="D30" s="6"/>
      <c r="E30" s="12" t="s">
        <v>998</v>
      </c>
      <c r="F30" s="10">
        <v>4063.0600000000004</v>
      </c>
      <c r="H30" t="str">
        <f t="shared" si="0"/>
        <v>Nevada</v>
      </c>
      <c r="I30">
        <f t="shared" si="1"/>
        <v>15059.500000000002</v>
      </c>
    </row>
    <row r="31" spans="2:15">
      <c r="B31" s="7"/>
      <c r="C31" s="8"/>
      <c r="D31" s="9"/>
      <c r="E31" s="12" t="s">
        <v>128</v>
      </c>
      <c r="F31" s="10">
        <v>15059.500000000002</v>
      </c>
      <c r="H31" t="str">
        <f t="shared" si="0"/>
        <v>New Hampshire</v>
      </c>
      <c r="I31">
        <f t="shared" si="1"/>
        <v>7210.3</v>
      </c>
    </row>
    <row r="32" spans="2:15">
      <c r="E32" s="12" t="s">
        <v>687</v>
      </c>
      <c r="F32" s="10">
        <v>7210.3</v>
      </c>
      <c r="H32" t="str">
        <f t="shared" si="0"/>
        <v>New Jersey</v>
      </c>
      <c r="I32">
        <f t="shared" si="1"/>
        <v>29833.009999999995</v>
      </c>
    </row>
    <row r="33" spans="5:9">
      <c r="E33" s="12" t="s">
        <v>179</v>
      </c>
      <c r="F33" s="10">
        <v>29833.009999999995</v>
      </c>
      <c r="H33" t="str">
        <f t="shared" si="0"/>
        <v>New Mexico</v>
      </c>
      <c r="I33">
        <f t="shared" si="1"/>
        <v>3519.2000000000003</v>
      </c>
    </row>
    <row r="34" spans="5:9">
      <c r="E34" s="12" t="s">
        <v>401</v>
      </c>
      <c r="F34" s="10">
        <v>3519.2000000000003</v>
      </c>
      <c r="H34" t="str">
        <f t="shared" si="0"/>
        <v>New York</v>
      </c>
      <c r="I34">
        <f t="shared" si="1"/>
        <v>246517.74000000046</v>
      </c>
    </row>
    <row r="35" spans="5:9">
      <c r="E35" s="12" t="s">
        <v>151</v>
      </c>
      <c r="F35" s="10">
        <v>246517.74000000046</v>
      </c>
      <c r="H35" t="str">
        <f t="shared" si="0"/>
        <v>North Carolina</v>
      </c>
      <c r="I35">
        <f t="shared" si="1"/>
        <v>37450.26999999999</v>
      </c>
    </row>
    <row r="36" spans="5:9">
      <c r="E36" s="12" t="s">
        <v>247</v>
      </c>
      <c r="F36" s="10">
        <v>37450.26999999999</v>
      </c>
      <c r="H36" t="str">
        <f t="shared" si="0"/>
        <v>North Dakota</v>
      </c>
      <c r="I36">
        <f t="shared" si="1"/>
        <v>891.53</v>
      </c>
    </row>
    <row r="37" spans="5:9">
      <c r="E37" s="12" t="s">
        <v>2677</v>
      </c>
      <c r="F37" s="10">
        <v>891.53</v>
      </c>
      <c r="H37" t="str">
        <f t="shared" si="0"/>
        <v>Ohio</v>
      </c>
      <c r="I37">
        <f t="shared" si="1"/>
        <v>66407.170000000027</v>
      </c>
    </row>
    <row r="38" spans="5:9">
      <c r="E38" s="12" t="s">
        <v>80</v>
      </c>
      <c r="F38" s="10">
        <v>66407.170000000027</v>
      </c>
      <c r="H38" t="str">
        <f t="shared" si="0"/>
        <v>Oklahoma</v>
      </c>
      <c r="I38">
        <f t="shared" si="1"/>
        <v>17021.929999999997</v>
      </c>
    </row>
    <row r="39" spans="5:9">
      <c r="E39" s="12" t="s">
        <v>842</v>
      </c>
      <c r="F39" s="10">
        <v>17021.929999999997</v>
      </c>
      <c r="H39" t="str">
        <f t="shared" si="0"/>
        <v>Oregon</v>
      </c>
      <c r="I39">
        <f t="shared" si="1"/>
        <v>15189.980000000009</v>
      </c>
    </row>
    <row r="40" spans="5:9">
      <c r="E40" s="12" t="s">
        <v>93</v>
      </c>
      <c r="F40" s="10">
        <v>15189.980000000009</v>
      </c>
      <c r="H40" t="str">
        <f t="shared" si="0"/>
        <v>Pennsylvania</v>
      </c>
      <c r="I40">
        <f t="shared" si="1"/>
        <v>95494.859999999986</v>
      </c>
    </row>
    <row r="41" spans="5:9">
      <c r="E41" s="12" t="s">
        <v>25</v>
      </c>
      <c r="F41" s="10">
        <v>95494.859999999986</v>
      </c>
      <c r="H41" t="str">
        <f t="shared" si="0"/>
        <v>Rhode Island</v>
      </c>
      <c r="I41">
        <f t="shared" si="1"/>
        <v>19695.419999999998</v>
      </c>
    </row>
    <row r="42" spans="5:9">
      <c r="E42" s="12" t="s">
        <v>1531</v>
      </c>
      <c r="F42" s="10">
        <v>19695.419999999998</v>
      </c>
      <c r="H42" t="str">
        <f t="shared" si="0"/>
        <v>South Carolina</v>
      </c>
      <c r="I42">
        <f t="shared" si="1"/>
        <v>7350.869999999999</v>
      </c>
    </row>
    <row r="43" spans="5:9">
      <c r="E43" s="12" t="s">
        <v>72</v>
      </c>
      <c r="F43" s="10">
        <v>7350.869999999999</v>
      </c>
      <c r="H43" t="str">
        <f t="shared" si="0"/>
        <v>South Dakota</v>
      </c>
      <c r="I43">
        <f t="shared" si="1"/>
        <v>1290.06</v>
      </c>
    </row>
    <row r="44" spans="5:9">
      <c r="E44" s="12" t="s">
        <v>142</v>
      </c>
      <c r="F44" s="10">
        <v>1290.06</v>
      </c>
      <c r="H44" t="str">
        <f t="shared" si="0"/>
        <v>Tennessee</v>
      </c>
      <c r="I44">
        <f t="shared" si="1"/>
        <v>21227.569999999996</v>
      </c>
    </row>
    <row r="45" spans="5:9">
      <c r="E45" s="12" t="s">
        <v>122</v>
      </c>
      <c r="F45" s="10">
        <v>21227.569999999996</v>
      </c>
      <c r="H45" t="str">
        <f t="shared" si="0"/>
        <v>Texas</v>
      </c>
      <c r="I45">
        <f t="shared" si="1"/>
        <v>151436.59999999998</v>
      </c>
    </row>
    <row r="46" spans="5:9">
      <c r="E46" s="12" t="s">
        <v>12</v>
      </c>
      <c r="F46" s="10">
        <v>151436.59999999998</v>
      </c>
      <c r="H46" t="str">
        <f t="shared" si="0"/>
        <v>Utah</v>
      </c>
      <c r="I46">
        <f t="shared" si="1"/>
        <v>8960.06</v>
      </c>
    </row>
    <row r="47" spans="5:9">
      <c r="E47" s="12" t="s">
        <v>298</v>
      </c>
      <c r="F47" s="10">
        <v>8960.06</v>
      </c>
      <c r="H47" t="str">
        <f t="shared" si="0"/>
        <v>Vermont</v>
      </c>
      <c r="I47">
        <f t="shared" si="1"/>
        <v>8724.34</v>
      </c>
    </row>
    <row r="48" spans="5:9">
      <c r="E48" s="12" t="s">
        <v>2324</v>
      </c>
      <c r="F48" s="10">
        <v>8724.34</v>
      </c>
      <c r="H48" t="str">
        <f t="shared" si="0"/>
        <v>Virginia</v>
      </c>
      <c r="I48">
        <f t="shared" si="1"/>
        <v>67825.950000000026</v>
      </c>
    </row>
    <row r="49" spans="5:9">
      <c r="E49" s="12" t="s">
        <v>57</v>
      </c>
      <c r="F49" s="10">
        <v>67825.950000000026</v>
      </c>
      <c r="H49" t="str">
        <f t="shared" si="0"/>
        <v>Washington</v>
      </c>
      <c r="I49">
        <f t="shared" si="1"/>
        <v>117661.47000000002</v>
      </c>
    </row>
    <row r="50" spans="5:9">
      <c r="E50" s="12" t="s">
        <v>166</v>
      </c>
      <c r="F50" s="10">
        <v>117661.47000000002</v>
      </c>
      <c r="H50" t="str">
        <f t="shared" si="0"/>
        <v>West Virginia</v>
      </c>
      <c r="I50">
        <f t="shared" si="1"/>
        <v>536.48</v>
      </c>
    </row>
    <row r="51" spans="5:9">
      <c r="E51" s="12" t="s">
        <v>2689</v>
      </c>
      <c r="F51" s="10">
        <v>536.48</v>
      </c>
      <c r="H51" t="str">
        <f t="shared" si="0"/>
        <v>Wisconsin</v>
      </c>
      <c r="I51">
        <f t="shared" si="1"/>
        <v>29249.080000000009</v>
      </c>
    </row>
    <row r="52" spans="5:9">
      <c r="E52" s="12" t="s">
        <v>159</v>
      </c>
      <c r="F52" s="10">
        <v>29249.080000000009</v>
      </c>
      <c r="H52" t="str">
        <f t="shared" si="0"/>
        <v>Wyoming</v>
      </c>
      <c r="I52">
        <f t="shared" si="1"/>
        <v>1603.14</v>
      </c>
    </row>
    <row r="53" spans="5:9">
      <c r="E53" s="12" t="s">
        <v>2622</v>
      </c>
      <c r="F53" s="10">
        <v>1603.14</v>
      </c>
    </row>
    <row r="54" spans="5:9">
      <c r="E54" s="12" t="s">
        <v>2714</v>
      </c>
      <c r="F54" s="10">
        <v>1928887.8600000013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795"/>
  <sheetViews>
    <sheetView showGridLines="0" topLeftCell="F1" workbookViewId="0">
      <selection activeCell="M4" sqref="M4:N21"/>
    </sheetView>
  </sheetViews>
  <sheetFormatPr defaultRowHeight="14"/>
  <cols>
    <col min="2" max="2" width="11.9140625" customWidth="1"/>
    <col min="4" max="4" width="12.9140625" bestFit="1" customWidth="1"/>
    <col min="5" max="5" width="15.58203125" bestFit="1" customWidth="1"/>
    <col min="6" max="6" width="13.6640625" customWidth="1"/>
    <col min="7" max="7" width="10.75" customWidth="1"/>
    <col min="8" max="8" width="10.83203125" customWidth="1"/>
    <col min="10" max="10" width="12.9140625" bestFit="1" customWidth="1"/>
    <col min="11" max="11" width="12" bestFit="1" customWidth="1"/>
    <col min="16" max="16" width="20.08203125" bestFit="1" customWidth="1"/>
  </cols>
  <sheetData>
    <row r="1" spans="2:16">
      <c r="B1" s="13" t="s">
        <v>2715</v>
      </c>
    </row>
    <row r="2" spans="2:16">
      <c r="B2" t="s">
        <v>2710</v>
      </c>
      <c r="D2" s="13" t="s">
        <v>2712</v>
      </c>
    </row>
    <row r="3" spans="2:16">
      <c r="B3" s="10">
        <v>1928887.8599999624</v>
      </c>
      <c r="D3" s="11" t="s">
        <v>2711</v>
      </c>
      <c r="E3" s="11" t="s">
        <v>2724</v>
      </c>
      <c r="J3" s="13" t="s">
        <v>2717</v>
      </c>
    </row>
    <row r="4" spans="2:16">
      <c r="D4" s="11" t="s">
        <v>2713</v>
      </c>
      <c r="E4" t="s">
        <v>36</v>
      </c>
      <c r="F4" t="s">
        <v>13</v>
      </c>
      <c r="G4" t="s">
        <v>41</v>
      </c>
      <c r="H4" t="s">
        <v>2714</v>
      </c>
      <c r="J4" s="11" t="s">
        <v>2713</v>
      </c>
      <c r="K4" t="s">
        <v>2710</v>
      </c>
      <c r="M4" s="13" t="s">
        <v>3</v>
      </c>
      <c r="N4" s="13" t="s">
        <v>6</v>
      </c>
      <c r="P4" s="11" t="s">
        <v>2713</v>
      </c>
    </row>
    <row r="5" spans="2:16">
      <c r="D5" s="12">
        <v>2021</v>
      </c>
      <c r="E5" s="10">
        <v>5469.7699999999977</v>
      </c>
      <c r="F5" s="10">
        <v>22593.399999999965</v>
      </c>
      <c r="G5" s="10">
        <v>21492.950000000008</v>
      </c>
      <c r="H5" s="10">
        <v>49556.119999999966</v>
      </c>
      <c r="J5" s="12" t="s">
        <v>42</v>
      </c>
      <c r="K5" s="10">
        <v>279464.4200000001</v>
      </c>
      <c r="M5" t="str">
        <f>J5</f>
        <v>Phones</v>
      </c>
      <c r="N5">
        <f>GETPIVOTDATA("Sales",$J$4,"Sub-Category",M5)</f>
        <v>279464.4200000001</v>
      </c>
      <c r="P5" s="12" t="s">
        <v>212</v>
      </c>
    </row>
    <row r="6" spans="2:16">
      <c r="B6" s="13" t="s">
        <v>2716</v>
      </c>
      <c r="D6" s="12">
        <v>2022</v>
      </c>
      <c r="E6" s="10">
        <v>3015.170000000001</v>
      </c>
      <c r="F6" s="10">
        <v>25099.55000000001</v>
      </c>
      <c r="G6" s="10">
        <v>33503.970000000016</v>
      </c>
      <c r="H6" s="10">
        <v>61618.690000000031</v>
      </c>
      <c r="J6" s="12" t="s">
        <v>37</v>
      </c>
      <c r="K6" s="10">
        <v>277058.98000000045</v>
      </c>
      <c r="M6" t="str">
        <f t="shared" ref="M6:M21" si="0">J6</f>
        <v>Chairs</v>
      </c>
      <c r="N6">
        <f t="shared" ref="N6:N21" si="1">GETPIVOTDATA("Sales",$J$4,"Sub-Category",M6)</f>
        <v>277058.98000000045</v>
      </c>
      <c r="P6" s="12" t="s">
        <v>560</v>
      </c>
    </row>
    <row r="7" spans="2:16">
      <c r="B7" t="s">
        <v>2711</v>
      </c>
      <c r="D7" s="12">
        <v>2023</v>
      </c>
      <c r="E7" s="10">
        <v>6959.9299999999967</v>
      </c>
      <c r="F7" s="10">
        <v>35052.909999999989</v>
      </c>
      <c r="G7" s="10">
        <v>39774.099999999984</v>
      </c>
      <c r="H7" s="10">
        <v>81786.939999999973</v>
      </c>
      <c r="J7" s="12" t="s">
        <v>20</v>
      </c>
      <c r="K7" s="10">
        <v>190679.61000000019</v>
      </c>
      <c r="M7" t="str">
        <f t="shared" si="0"/>
        <v>Storage</v>
      </c>
      <c r="N7">
        <f t="shared" si="1"/>
        <v>190679.61000000019</v>
      </c>
      <c r="P7" s="12" t="s">
        <v>1035</v>
      </c>
    </row>
    <row r="8" spans="2:16">
      <c r="B8" s="10">
        <v>247961.07000000036</v>
      </c>
      <c r="D8" s="12">
        <v>2024</v>
      </c>
      <c r="E8" s="10">
        <v>2443.7999999999993</v>
      </c>
      <c r="F8" s="10">
        <v>25464.809999999976</v>
      </c>
      <c r="G8" s="10">
        <v>27090.710000000028</v>
      </c>
      <c r="H8" s="10">
        <v>54999.320000000007</v>
      </c>
      <c r="J8" s="12" t="s">
        <v>22</v>
      </c>
      <c r="K8" s="10">
        <v>169089.72999999995</v>
      </c>
      <c r="M8" t="str">
        <f t="shared" si="0"/>
        <v>Binders</v>
      </c>
      <c r="N8">
        <f t="shared" si="1"/>
        <v>169089.72999999995</v>
      </c>
      <c r="P8" s="12" t="s">
        <v>2255</v>
      </c>
    </row>
    <row r="9" spans="2:16">
      <c r="D9" s="12" t="s">
        <v>2714</v>
      </c>
      <c r="E9" s="10">
        <v>17888.669999999995</v>
      </c>
      <c r="F9" s="10">
        <v>108210.66999999993</v>
      </c>
      <c r="G9" s="10">
        <v>121861.73000000004</v>
      </c>
      <c r="H9" s="10">
        <v>247961.06999999998</v>
      </c>
      <c r="J9" s="12" t="s">
        <v>147</v>
      </c>
      <c r="K9" s="10">
        <v>167672.76</v>
      </c>
      <c r="M9" t="str">
        <f t="shared" si="0"/>
        <v>Tables</v>
      </c>
      <c r="N9">
        <f t="shared" si="1"/>
        <v>167672.76</v>
      </c>
      <c r="P9" s="12" t="s">
        <v>1633</v>
      </c>
    </row>
    <row r="10" spans="2:16">
      <c r="J10" s="12" t="s">
        <v>304</v>
      </c>
      <c r="K10" s="10">
        <v>166777.78000000003</v>
      </c>
      <c r="M10" t="str">
        <f t="shared" si="0"/>
        <v>Machines</v>
      </c>
      <c r="N10">
        <f t="shared" si="1"/>
        <v>166777.78000000003</v>
      </c>
      <c r="P10" s="12" t="s">
        <v>1363</v>
      </c>
    </row>
    <row r="11" spans="2:16">
      <c r="B11" s="17">
        <f>GETPIVOTDATA("Sales",$B$2)</f>
        <v>1928887.8599999624</v>
      </c>
      <c r="J11" s="12" t="s">
        <v>54</v>
      </c>
      <c r="K11" s="10">
        <v>139241.71000000002</v>
      </c>
      <c r="M11" t="str">
        <f t="shared" si="0"/>
        <v>Accessories</v>
      </c>
      <c r="N11">
        <f t="shared" si="1"/>
        <v>139241.71000000002</v>
      </c>
      <c r="P11" s="12" t="s">
        <v>1819</v>
      </c>
    </row>
    <row r="12" spans="2:16">
      <c r="B12" s="17">
        <f>GETPIVOTDATA("Profit",$B$7)</f>
        <v>247961.07000000036</v>
      </c>
      <c r="J12" s="12" t="s">
        <v>605</v>
      </c>
      <c r="K12" s="10">
        <v>118968.23999999999</v>
      </c>
      <c r="M12" t="str">
        <f t="shared" si="0"/>
        <v>Copiers</v>
      </c>
      <c r="N12">
        <f t="shared" si="1"/>
        <v>118968.23999999999</v>
      </c>
      <c r="P12" s="12" t="s">
        <v>965</v>
      </c>
    </row>
    <row r="13" spans="2:16">
      <c r="J13" s="12" t="s">
        <v>76</v>
      </c>
      <c r="K13" s="10">
        <v>101387.67000000013</v>
      </c>
      <c r="M13" t="str">
        <f t="shared" si="0"/>
        <v>Bookcases</v>
      </c>
      <c r="N13">
        <f t="shared" si="1"/>
        <v>101387.67000000013</v>
      </c>
      <c r="P13" s="12" t="s">
        <v>2627</v>
      </c>
    </row>
    <row r="14" spans="2:16">
      <c r="J14" s="12" t="s">
        <v>94</v>
      </c>
      <c r="K14" s="10">
        <v>87846.099999999991</v>
      </c>
      <c r="M14" t="str">
        <f t="shared" si="0"/>
        <v>Appliances</v>
      </c>
      <c r="N14">
        <f t="shared" si="1"/>
        <v>87846.099999999991</v>
      </c>
      <c r="P14" s="12" t="s">
        <v>261</v>
      </c>
    </row>
    <row r="15" spans="2:16">
      <c r="J15" s="12" t="s">
        <v>49</v>
      </c>
      <c r="K15" s="10">
        <v>76222.689999999944</v>
      </c>
      <c r="M15" t="str">
        <f t="shared" si="0"/>
        <v>Furnishings</v>
      </c>
      <c r="N15">
        <f t="shared" si="1"/>
        <v>76222.689999999944</v>
      </c>
      <c r="P15" s="12" t="s">
        <v>1635</v>
      </c>
    </row>
    <row r="16" spans="2:16">
      <c r="J16" s="12" t="s">
        <v>14</v>
      </c>
      <c r="K16" s="10">
        <v>64529.990000000034</v>
      </c>
      <c r="M16" t="str">
        <f t="shared" si="0"/>
        <v>Paper</v>
      </c>
      <c r="N16">
        <f t="shared" si="1"/>
        <v>64529.990000000034</v>
      </c>
      <c r="P16" s="12" t="s">
        <v>1667</v>
      </c>
    </row>
    <row r="17" spans="10:16">
      <c r="J17" s="12" t="s">
        <v>202</v>
      </c>
      <c r="K17" s="10">
        <v>38554.810000000027</v>
      </c>
      <c r="M17" t="str">
        <f t="shared" si="0"/>
        <v>Supplies</v>
      </c>
      <c r="N17">
        <f t="shared" si="1"/>
        <v>38554.810000000027</v>
      </c>
      <c r="P17" s="12" t="s">
        <v>1937</v>
      </c>
    </row>
    <row r="18" spans="10:16">
      <c r="J18" s="12" t="s">
        <v>26</v>
      </c>
      <c r="K18" s="10">
        <v>23145.500000000011</v>
      </c>
      <c r="M18" t="str">
        <f t="shared" si="0"/>
        <v>Art</v>
      </c>
      <c r="N18">
        <f t="shared" si="1"/>
        <v>23145.500000000011</v>
      </c>
      <c r="P18" s="12" t="s">
        <v>1725</v>
      </c>
    </row>
    <row r="19" spans="10:16">
      <c r="J19" s="12" t="s">
        <v>65</v>
      </c>
      <c r="K19" s="10">
        <v>14717.39</v>
      </c>
      <c r="M19" t="str">
        <f t="shared" si="0"/>
        <v>Envelopes</v>
      </c>
      <c r="N19">
        <f t="shared" si="1"/>
        <v>14717.39</v>
      </c>
      <c r="P19" s="12" t="s">
        <v>1480</v>
      </c>
    </row>
    <row r="20" spans="10:16">
      <c r="J20" s="12" t="s">
        <v>18</v>
      </c>
      <c r="K20" s="10">
        <v>11045.550000000012</v>
      </c>
      <c r="M20" t="str">
        <f t="shared" si="0"/>
        <v>Labels</v>
      </c>
      <c r="N20">
        <f t="shared" si="1"/>
        <v>11045.550000000012</v>
      </c>
      <c r="P20" s="12" t="s">
        <v>309</v>
      </c>
    </row>
    <row r="21" spans="10:16">
      <c r="J21" s="12" t="s">
        <v>45</v>
      </c>
      <c r="K21" s="10">
        <v>2484.9300000000003</v>
      </c>
      <c r="M21" t="str">
        <f t="shared" si="0"/>
        <v>Fasteners</v>
      </c>
      <c r="N21">
        <f t="shared" si="1"/>
        <v>2484.9300000000003</v>
      </c>
      <c r="P21" s="12" t="s">
        <v>1005</v>
      </c>
    </row>
    <row r="22" spans="10:16">
      <c r="J22" s="12" t="s">
        <v>2714</v>
      </c>
      <c r="K22" s="10">
        <v>1928887.8600000008</v>
      </c>
      <c r="P22" s="12" t="s">
        <v>666</v>
      </c>
    </row>
    <row r="23" spans="10:16">
      <c r="P23" s="12" t="s">
        <v>2528</v>
      </c>
    </row>
    <row r="24" spans="10:16">
      <c r="P24" s="12" t="s">
        <v>575</v>
      </c>
    </row>
    <row r="25" spans="10:16">
      <c r="P25" s="12" t="s">
        <v>421</v>
      </c>
    </row>
    <row r="26" spans="10:16">
      <c r="P26" s="12" t="s">
        <v>2580</v>
      </c>
    </row>
    <row r="27" spans="10:16">
      <c r="P27" s="12" t="s">
        <v>1870</v>
      </c>
    </row>
    <row r="28" spans="10:16">
      <c r="P28" s="12" t="s">
        <v>1440</v>
      </c>
    </row>
    <row r="29" spans="10:16">
      <c r="P29" s="12" t="s">
        <v>556</v>
      </c>
    </row>
    <row r="30" spans="10:16">
      <c r="P30" s="12" t="s">
        <v>549</v>
      </c>
    </row>
    <row r="31" spans="10:16">
      <c r="P31" s="12" t="s">
        <v>1426</v>
      </c>
    </row>
    <row r="32" spans="10:16">
      <c r="P32" s="12" t="s">
        <v>942</v>
      </c>
    </row>
    <row r="33" spans="16:16">
      <c r="P33" s="12" t="s">
        <v>1701</v>
      </c>
    </row>
    <row r="34" spans="16:16">
      <c r="P34" s="12" t="s">
        <v>1536</v>
      </c>
    </row>
    <row r="35" spans="16:16">
      <c r="P35" s="12" t="s">
        <v>1887</v>
      </c>
    </row>
    <row r="36" spans="16:16">
      <c r="P36" s="12" t="s">
        <v>614</v>
      </c>
    </row>
    <row r="37" spans="16:16">
      <c r="P37" s="12" t="s">
        <v>1888</v>
      </c>
    </row>
    <row r="38" spans="16:16">
      <c r="P38" s="12" t="s">
        <v>603</v>
      </c>
    </row>
    <row r="39" spans="16:16">
      <c r="P39" s="12" t="s">
        <v>1097</v>
      </c>
    </row>
    <row r="40" spans="16:16">
      <c r="P40" s="12" t="s">
        <v>1707</v>
      </c>
    </row>
    <row r="41" spans="16:16">
      <c r="P41" s="12" t="s">
        <v>480</v>
      </c>
    </row>
    <row r="42" spans="16:16">
      <c r="P42" s="12" t="s">
        <v>2566</v>
      </c>
    </row>
    <row r="43" spans="16:16">
      <c r="P43" s="12" t="s">
        <v>1513</v>
      </c>
    </row>
    <row r="44" spans="16:16">
      <c r="P44" s="12" t="s">
        <v>1650</v>
      </c>
    </row>
    <row r="45" spans="16:16">
      <c r="P45" s="12" t="s">
        <v>2248</v>
      </c>
    </row>
    <row r="46" spans="16:16">
      <c r="P46" s="12" t="s">
        <v>1046</v>
      </c>
    </row>
    <row r="47" spans="16:16">
      <c r="P47" s="12" t="s">
        <v>863</v>
      </c>
    </row>
    <row r="48" spans="16:16">
      <c r="P48" s="12" t="s">
        <v>1476</v>
      </c>
    </row>
    <row r="49" spans="16:16">
      <c r="P49" s="12" t="s">
        <v>2067</v>
      </c>
    </row>
    <row r="50" spans="16:16">
      <c r="P50" s="12" t="s">
        <v>445</v>
      </c>
    </row>
    <row r="51" spans="16:16">
      <c r="P51" s="12" t="s">
        <v>1530</v>
      </c>
    </row>
    <row r="52" spans="16:16">
      <c r="P52" s="12" t="s">
        <v>248</v>
      </c>
    </row>
    <row r="53" spans="16:16">
      <c r="P53" s="12" t="s">
        <v>1198</v>
      </c>
    </row>
    <row r="54" spans="16:16">
      <c r="P54" s="12" t="s">
        <v>327</v>
      </c>
    </row>
    <row r="55" spans="16:16">
      <c r="P55" s="12" t="s">
        <v>1314</v>
      </c>
    </row>
    <row r="56" spans="16:16">
      <c r="P56" s="12" t="s">
        <v>56</v>
      </c>
    </row>
    <row r="57" spans="16:16">
      <c r="P57" s="12" t="s">
        <v>671</v>
      </c>
    </row>
    <row r="58" spans="16:16">
      <c r="P58" s="12" t="s">
        <v>2586</v>
      </c>
    </row>
    <row r="59" spans="16:16">
      <c r="P59" s="12" t="s">
        <v>893</v>
      </c>
    </row>
    <row r="60" spans="16:16">
      <c r="P60" s="12" t="s">
        <v>2014</v>
      </c>
    </row>
    <row r="61" spans="16:16">
      <c r="P61" s="12" t="s">
        <v>589</v>
      </c>
    </row>
    <row r="62" spans="16:16">
      <c r="P62" s="12" t="s">
        <v>2385</v>
      </c>
    </row>
    <row r="63" spans="16:16">
      <c r="P63" s="12" t="s">
        <v>645</v>
      </c>
    </row>
    <row r="64" spans="16:16">
      <c r="P64" s="12" t="s">
        <v>1007</v>
      </c>
    </row>
    <row r="65" spans="16:16">
      <c r="P65" s="12" t="s">
        <v>1154</v>
      </c>
    </row>
    <row r="66" spans="16:16">
      <c r="P66" s="12" t="s">
        <v>953</v>
      </c>
    </row>
    <row r="67" spans="16:16">
      <c r="P67" s="12" t="s">
        <v>246</v>
      </c>
    </row>
    <row r="68" spans="16:16">
      <c r="P68" s="12" t="s">
        <v>1300</v>
      </c>
    </row>
    <row r="69" spans="16:16">
      <c r="P69" s="12" t="s">
        <v>961</v>
      </c>
    </row>
    <row r="70" spans="16:16">
      <c r="P70" s="12" t="s">
        <v>1037</v>
      </c>
    </row>
    <row r="71" spans="16:16">
      <c r="P71" s="12" t="s">
        <v>1380</v>
      </c>
    </row>
    <row r="72" spans="16:16">
      <c r="P72" s="12" t="s">
        <v>204</v>
      </c>
    </row>
    <row r="73" spans="16:16">
      <c r="P73" s="12" t="s">
        <v>1576</v>
      </c>
    </row>
    <row r="74" spans="16:16">
      <c r="P74" s="12" t="s">
        <v>1459</v>
      </c>
    </row>
    <row r="75" spans="16:16">
      <c r="P75" s="12" t="s">
        <v>719</v>
      </c>
    </row>
    <row r="76" spans="16:16">
      <c r="P76" s="12" t="s">
        <v>1714</v>
      </c>
    </row>
    <row r="77" spans="16:16">
      <c r="P77" s="12" t="s">
        <v>790</v>
      </c>
    </row>
    <row r="78" spans="16:16">
      <c r="P78" s="12" t="s">
        <v>1965</v>
      </c>
    </row>
    <row r="79" spans="16:16">
      <c r="P79" s="12" t="s">
        <v>919</v>
      </c>
    </row>
    <row r="80" spans="16:16">
      <c r="P80" s="12" t="s">
        <v>1236</v>
      </c>
    </row>
    <row r="81" spans="16:16">
      <c r="P81" s="12" t="s">
        <v>2103</v>
      </c>
    </row>
    <row r="82" spans="16:16">
      <c r="P82" s="12" t="s">
        <v>532</v>
      </c>
    </row>
    <row r="83" spans="16:16">
      <c r="P83" s="12" t="s">
        <v>1976</v>
      </c>
    </row>
    <row r="84" spans="16:16">
      <c r="P84" s="12" t="s">
        <v>1115</v>
      </c>
    </row>
    <row r="85" spans="16:16">
      <c r="P85" s="12" t="s">
        <v>1586</v>
      </c>
    </row>
    <row r="86" spans="16:16">
      <c r="P86" s="12" t="s">
        <v>554</v>
      </c>
    </row>
    <row r="87" spans="16:16">
      <c r="P87" s="12" t="s">
        <v>1979</v>
      </c>
    </row>
    <row r="88" spans="16:16">
      <c r="P88" s="12" t="s">
        <v>1053</v>
      </c>
    </row>
    <row r="89" spans="16:16">
      <c r="P89" s="12" t="s">
        <v>371</v>
      </c>
    </row>
    <row r="90" spans="16:16">
      <c r="P90" s="12" t="s">
        <v>1425</v>
      </c>
    </row>
    <row r="91" spans="16:16">
      <c r="P91" s="12" t="s">
        <v>571</v>
      </c>
    </row>
    <row r="92" spans="16:16">
      <c r="P92" s="12" t="s">
        <v>2096</v>
      </c>
    </row>
    <row r="93" spans="16:16">
      <c r="P93" s="12" t="s">
        <v>2434</v>
      </c>
    </row>
    <row r="94" spans="16:16">
      <c r="P94" s="12" t="s">
        <v>2425</v>
      </c>
    </row>
    <row r="95" spans="16:16">
      <c r="P95" s="12" t="s">
        <v>617</v>
      </c>
    </row>
    <row r="96" spans="16:16">
      <c r="P96" s="12" t="s">
        <v>1724</v>
      </c>
    </row>
    <row r="97" spans="16:16">
      <c r="P97" s="12" t="s">
        <v>1519</v>
      </c>
    </row>
    <row r="98" spans="16:16">
      <c r="P98" s="12" t="s">
        <v>2446</v>
      </c>
    </row>
    <row r="99" spans="16:16">
      <c r="P99" s="12" t="s">
        <v>2234</v>
      </c>
    </row>
    <row r="100" spans="16:16">
      <c r="P100" s="12" t="s">
        <v>776</v>
      </c>
    </row>
    <row r="101" spans="16:16">
      <c r="P101" s="12" t="s">
        <v>2176</v>
      </c>
    </row>
    <row r="102" spans="16:16">
      <c r="P102" s="12" t="s">
        <v>1279</v>
      </c>
    </row>
    <row r="103" spans="16:16">
      <c r="P103" s="12" t="s">
        <v>2418</v>
      </c>
    </row>
    <row r="104" spans="16:16">
      <c r="P104" s="12" t="s">
        <v>158</v>
      </c>
    </row>
    <row r="105" spans="16:16">
      <c r="P105" s="12" t="s">
        <v>316</v>
      </c>
    </row>
    <row r="106" spans="16:16">
      <c r="P106" s="12" t="s">
        <v>697</v>
      </c>
    </row>
    <row r="107" spans="16:16">
      <c r="P107" s="12" t="s">
        <v>2105</v>
      </c>
    </row>
    <row r="108" spans="16:16">
      <c r="P108" s="12" t="s">
        <v>2093</v>
      </c>
    </row>
    <row r="109" spans="16:16">
      <c r="P109" s="12" t="s">
        <v>2246</v>
      </c>
    </row>
    <row r="110" spans="16:16">
      <c r="P110" s="12" t="s">
        <v>83</v>
      </c>
    </row>
    <row r="111" spans="16:16">
      <c r="P111" s="12" t="s">
        <v>74</v>
      </c>
    </row>
    <row r="112" spans="16:16">
      <c r="P112" s="12" t="s">
        <v>897</v>
      </c>
    </row>
    <row r="113" spans="16:16">
      <c r="P113" s="12" t="s">
        <v>1438</v>
      </c>
    </row>
    <row r="114" spans="16:16">
      <c r="P114" s="12" t="s">
        <v>925</v>
      </c>
    </row>
    <row r="115" spans="16:16">
      <c r="P115" s="12" t="s">
        <v>868</v>
      </c>
    </row>
    <row r="116" spans="16:16">
      <c r="P116" s="12" t="s">
        <v>1721</v>
      </c>
    </row>
    <row r="117" spans="16:16">
      <c r="P117" s="12" t="s">
        <v>659</v>
      </c>
    </row>
    <row r="118" spans="16:16">
      <c r="P118" s="12" t="s">
        <v>798</v>
      </c>
    </row>
    <row r="119" spans="16:16">
      <c r="P119" s="12" t="s">
        <v>2140</v>
      </c>
    </row>
    <row r="120" spans="16:16">
      <c r="P120" s="12" t="s">
        <v>378</v>
      </c>
    </row>
    <row r="121" spans="16:16">
      <c r="P121" s="12" t="s">
        <v>677</v>
      </c>
    </row>
    <row r="122" spans="16:16">
      <c r="P122" s="12" t="s">
        <v>2458</v>
      </c>
    </row>
    <row r="123" spans="16:16">
      <c r="P123" s="12" t="s">
        <v>780</v>
      </c>
    </row>
    <row r="124" spans="16:16">
      <c r="P124" s="12" t="s">
        <v>2272</v>
      </c>
    </row>
    <row r="125" spans="16:16">
      <c r="P125" s="12" t="s">
        <v>1620</v>
      </c>
    </row>
    <row r="126" spans="16:16">
      <c r="P126" s="12" t="s">
        <v>1790</v>
      </c>
    </row>
    <row r="127" spans="16:16">
      <c r="P127" s="12" t="s">
        <v>604</v>
      </c>
    </row>
    <row r="128" spans="16:16">
      <c r="P128" s="12" t="s">
        <v>2653</v>
      </c>
    </row>
    <row r="129" spans="16:16">
      <c r="P129" s="12" t="s">
        <v>1018</v>
      </c>
    </row>
    <row r="130" spans="16:16">
      <c r="P130" s="12" t="s">
        <v>805</v>
      </c>
    </row>
    <row r="131" spans="16:16">
      <c r="P131" s="12" t="s">
        <v>380</v>
      </c>
    </row>
    <row r="132" spans="16:16">
      <c r="P132" s="12" t="s">
        <v>2264</v>
      </c>
    </row>
    <row r="133" spans="16:16">
      <c r="P133" s="12" t="s">
        <v>793</v>
      </c>
    </row>
    <row r="134" spans="16:16">
      <c r="P134" s="12" t="s">
        <v>141</v>
      </c>
    </row>
    <row r="135" spans="16:16">
      <c r="P135" s="12" t="s">
        <v>2634</v>
      </c>
    </row>
    <row r="136" spans="16:16">
      <c r="P136" s="12" t="s">
        <v>632</v>
      </c>
    </row>
    <row r="137" spans="16:16">
      <c r="P137" s="12" t="s">
        <v>2457</v>
      </c>
    </row>
    <row r="138" spans="16:16">
      <c r="P138" s="12" t="s">
        <v>354</v>
      </c>
    </row>
    <row r="139" spans="16:16">
      <c r="P139" s="12" t="s">
        <v>2102</v>
      </c>
    </row>
    <row r="140" spans="16:16">
      <c r="P140" s="12" t="s">
        <v>2224</v>
      </c>
    </row>
    <row r="141" spans="16:16">
      <c r="P141" s="12" t="s">
        <v>2133</v>
      </c>
    </row>
    <row r="142" spans="16:16">
      <c r="P142" s="12" t="s">
        <v>1746</v>
      </c>
    </row>
    <row r="143" spans="16:16">
      <c r="P143" s="12" t="s">
        <v>1795</v>
      </c>
    </row>
    <row r="144" spans="16:16">
      <c r="P144" s="12" t="s">
        <v>1988</v>
      </c>
    </row>
    <row r="145" spans="16:16">
      <c r="P145" s="12" t="s">
        <v>1066</v>
      </c>
    </row>
    <row r="146" spans="16:16">
      <c r="P146" s="12" t="s">
        <v>980</v>
      </c>
    </row>
    <row r="147" spans="16:16">
      <c r="P147" s="12" t="s">
        <v>2616</v>
      </c>
    </row>
    <row r="148" spans="16:16">
      <c r="P148" s="12" t="s">
        <v>1113</v>
      </c>
    </row>
    <row r="149" spans="16:16">
      <c r="P149" s="12" t="s">
        <v>2256</v>
      </c>
    </row>
    <row r="150" spans="16:16">
      <c r="P150" s="12" t="s">
        <v>282</v>
      </c>
    </row>
    <row r="151" spans="16:16">
      <c r="P151" s="12" t="s">
        <v>1273</v>
      </c>
    </row>
    <row r="152" spans="16:16">
      <c r="P152" s="12" t="s">
        <v>2506</v>
      </c>
    </row>
    <row r="153" spans="16:16">
      <c r="P153" s="12" t="s">
        <v>63</v>
      </c>
    </row>
    <row r="154" spans="16:16">
      <c r="P154" s="12" t="s">
        <v>385</v>
      </c>
    </row>
    <row r="155" spans="16:16">
      <c r="P155" s="12" t="s">
        <v>396</v>
      </c>
    </row>
    <row r="156" spans="16:16">
      <c r="P156" s="12" t="s">
        <v>969</v>
      </c>
    </row>
    <row r="157" spans="16:16">
      <c r="P157" s="12" t="s">
        <v>295</v>
      </c>
    </row>
    <row r="158" spans="16:16">
      <c r="P158" s="12" t="s">
        <v>321</v>
      </c>
    </row>
    <row r="159" spans="16:16">
      <c r="P159" s="12" t="s">
        <v>1124</v>
      </c>
    </row>
    <row r="160" spans="16:16">
      <c r="P160" s="12" t="s">
        <v>2530</v>
      </c>
    </row>
    <row r="161" spans="16:16">
      <c r="P161" s="12" t="s">
        <v>1385</v>
      </c>
    </row>
    <row r="162" spans="16:16">
      <c r="P162" s="12" t="s">
        <v>2320</v>
      </c>
    </row>
    <row r="163" spans="16:16">
      <c r="P163" s="12" t="s">
        <v>2227</v>
      </c>
    </row>
    <row r="164" spans="16:16">
      <c r="P164" s="12" t="s">
        <v>808</v>
      </c>
    </row>
    <row r="165" spans="16:16">
      <c r="P165" s="12" t="s">
        <v>2690</v>
      </c>
    </row>
    <row r="166" spans="16:16">
      <c r="P166" s="12" t="s">
        <v>674</v>
      </c>
    </row>
    <row r="167" spans="16:16">
      <c r="P167" s="12" t="s">
        <v>1894</v>
      </c>
    </row>
    <row r="168" spans="16:16">
      <c r="P168" s="12" t="s">
        <v>394</v>
      </c>
    </row>
    <row r="169" spans="16:16">
      <c r="P169" s="12" t="s">
        <v>2288</v>
      </c>
    </row>
    <row r="170" spans="16:16">
      <c r="P170" s="12" t="s">
        <v>1885</v>
      </c>
    </row>
    <row r="171" spans="16:16">
      <c r="P171" s="12" t="s">
        <v>2685</v>
      </c>
    </row>
    <row r="172" spans="16:16">
      <c r="P172" s="12" t="s">
        <v>258</v>
      </c>
    </row>
    <row r="173" spans="16:16">
      <c r="P173" s="12" t="s">
        <v>2498</v>
      </c>
    </row>
    <row r="174" spans="16:16">
      <c r="P174" s="12" t="s">
        <v>1842</v>
      </c>
    </row>
    <row r="175" spans="16:16">
      <c r="P175" s="12" t="s">
        <v>1188</v>
      </c>
    </row>
    <row r="176" spans="16:16">
      <c r="P176" s="12" t="s">
        <v>759</v>
      </c>
    </row>
    <row r="177" spans="16:16">
      <c r="P177" s="12" t="s">
        <v>841</v>
      </c>
    </row>
    <row r="178" spans="16:16">
      <c r="P178" s="12" t="s">
        <v>1964</v>
      </c>
    </row>
    <row r="179" spans="16:16">
      <c r="P179" s="12" t="s">
        <v>1833</v>
      </c>
    </row>
    <row r="180" spans="16:16">
      <c r="P180" s="12" t="s">
        <v>368</v>
      </c>
    </row>
    <row r="181" spans="16:16">
      <c r="P181" s="12" t="s">
        <v>2503</v>
      </c>
    </row>
    <row r="182" spans="16:16">
      <c r="P182" s="12" t="s">
        <v>272</v>
      </c>
    </row>
    <row r="183" spans="16:16">
      <c r="P183" s="12" t="s">
        <v>1142</v>
      </c>
    </row>
    <row r="184" spans="16:16">
      <c r="P184" s="12" t="s">
        <v>1778</v>
      </c>
    </row>
    <row r="185" spans="16:16">
      <c r="P185" s="12" t="s">
        <v>178</v>
      </c>
    </row>
    <row r="186" spans="16:16">
      <c r="P186" s="12" t="s">
        <v>881</v>
      </c>
    </row>
    <row r="187" spans="16:16">
      <c r="P187" s="12" t="s">
        <v>161</v>
      </c>
    </row>
    <row r="188" spans="16:16">
      <c r="P188" s="12" t="s">
        <v>2520</v>
      </c>
    </row>
    <row r="189" spans="16:16">
      <c r="P189" s="12" t="s">
        <v>1902</v>
      </c>
    </row>
    <row r="190" spans="16:16">
      <c r="P190" s="12" t="s">
        <v>391</v>
      </c>
    </row>
    <row r="191" spans="16:16">
      <c r="P191" s="12" t="s">
        <v>909</v>
      </c>
    </row>
    <row r="192" spans="16:16">
      <c r="P192" s="12" t="s">
        <v>886</v>
      </c>
    </row>
    <row r="193" spans="16:16">
      <c r="P193" s="12" t="s">
        <v>2267</v>
      </c>
    </row>
    <row r="194" spans="16:16">
      <c r="P194" s="12" t="s">
        <v>1943</v>
      </c>
    </row>
    <row r="195" spans="16:16">
      <c r="P195" s="12" t="s">
        <v>1509</v>
      </c>
    </row>
    <row r="196" spans="16:16">
      <c r="P196" s="12" t="s">
        <v>1269</v>
      </c>
    </row>
    <row r="197" spans="16:16">
      <c r="P197" s="12" t="s">
        <v>400</v>
      </c>
    </row>
    <row r="198" spans="16:16">
      <c r="P198" s="12" t="s">
        <v>1416</v>
      </c>
    </row>
    <row r="199" spans="16:16">
      <c r="P199" s="12" t="s">
        <v>1616</v>
      </c>
    </row>
    <row r="200" spans="16:16">
      <c r="P200" s="12" t="s">
        <v>1695</v>
      </c>
    </row>
    <row r="201" spans="16:16">
      <c r="P201" s="12" t="s">
        <v>11</v>
      </c>
    </row>
    <row r="202" spans="16:16">
      <c r="P202" s="12" t="s">
        <v>1305</v>
      </c>
    </row>
    <row r="203" spans="16:16">
      <c r="P203" s="12" t="s">
        <v>930</v>
      </c>
    </row>
    <row r="204" spans="16:16">
      <c r="P204" s="12" t="s">
        <v>2546</v>
      </c>
    </row>
    <row r="205" spans="16:16">
      <c r="P205" s="12" t="s">
        <v>229</v>
      </c>
    </row>
    <row r="206" spans="16:16">
      <c r="P206" s="12" t="s">
        <v>1671</v>
      </c>
    </row>
    <row r="207" spans="16:16">
      <c r="P207" s="12" t="s">
        <v>1935</v>
      </c>
    </row>
    <row r="208" spans="16:16">
      <c r="P208" s="12" t="s">
        <v>2207</v>
      </c>
    </row>
    <row r="209" spans="16:16">
      <c r="P209" s="12" t="s">
        <v>2055</v>
      </c>
    </row>
    <row r="210" spans="16:16">
      <c r="P210" s="12" t="s">
        <v>1433</v>
      </c>
    </row>
    <row r="211" spans="16:16">
      <c r="P211" s="12" t="s">
        <v>1748</v>
      </c>
    </row>
    <row r="212" spans="16:16">
      <c r="P212" s="12" t="s">
        <v>1735</v>
      </c>
    </row>
    <row r="213" spans="16:16">
      <c r="P213" s="12" t="s">
        <v>591</v>
      </c>
    </row>
    <row r="214" spans="16:16">
      <c r="P214" s="12" t="s">
        <v>92</v>
      </c>
    </row>
    <row r="215" spans="16:16">
      <c r="P215" s="12" t="s">
        <v>1970</v>
      </c>
    </row>
    <row r="216" spans="16:16">
      <c r="P216" s="12" t="s">
        <v>293</v>
      </c>
    </row>
    <row r="217" spans="16:16">
      <c r="P217" s="12" t="s">
        <v>726</v>
      </c>
    </row>
    <row r="218" spans="16:16">
      <c r="P218" s="12" t="s">
        <v>1145</v>
      </c>
    </row>
    <row r="219" spans="16:16">
      <c r="P219" s="12" t="s">
        <v>169</v>
      </c>
    </row>
    <row r="220" spans="16:16">
      <c r="P220" s="12" t="s">
        <v>1858</v>
      </c>
    </row>
    <row r="221" spans="16:16">
      <c r="P221" s="12" t="s">
        <v>1546</v>
      </c>
    </row>
    <row r="222" spans="16:16">
      <c r="P222" s="12" t="s">
        <v>87</v>
      </c>
    </row>
    <row r="223" spans="16:16">
      <c r="P223" s="12" t="s">
        <v>870</v>
      </c>
    </row>
    <row r="224" spans="16:16">
      <c r="P224" s="12" t="s">
        <v>1557</v>
      </c>
    </row>
    <row r="225" spans="16:16">
      <c r="P225" s="12" t="s">
        <v>1665</v>
      </c>
    </row>
    <row r="226" spans="16:16">
      <c r="P226" s="12" t="s">
        <v>1223</v>
      </c>
    </row>
    <row r="227" spans="16:16">
      <c r="P227" s="12" t="s">
        <v>912</v>
      </c>
    </row>
    <row r="228" spans="16:16">
      <c r="P228" s="12" t="s">
        <v>2185</v>
      </c>
    </row>
    <row r="229" spans="16:16">
      <c r="P229" s="12" t="s">
        <v>1768</v>
      </c>
    </row>
    <row r="230" spans="16:16">
      <c r="P230" s="12" t="s">
        <v>1428</v>
      </c>
    </row>
    <row r="231" spans="16:16">
      <c r="P231" s="12" t="s">
        <v>566</v>
      </c>
    </row>
    <row r="232" spans="16:16">
      <c r="P232" s="12" t="s">
        <v>861</v>
      </c>
    </row>
    <row r="233" spans="16:16">
      <c r="P233" s="12" t="s">
        <v>754</v>
      </c>
    </row>
    <row r="234" spans="16:16">
      <c r="P234" s="12" t="s">
        <v>2414</v>
      </c>
    </row>
    <row r="235" spans="16:16">
      <c r="P235" s="12" t="s">
        <v>1133</v>
      </c>
    </row>
    <row r="236" spans="16:16">
      <c r="P236" s="12" t="s">
        <v>914</v>
      </c>
    </row>
    <row r="237" spans="16:16">
      <c r="P237" s="12" t="s">
        <v>2449</v>
      </c>
    </row>
    <row r="238" spans="16:16">
      <c r="P238" s="12" t="s">
        <v>558</v>
      </c>
    </row>
    <row r="239" spans="16:16">
      <c r="P239" s="12" t="s">
        <v>426</v>
      </c>
    </row>
    <row r="240" spans="16:16">
      <c r="P240" s="12" t="s">
        <v>1165</v>
      </c>
    </row>
    <row r="241" spans="16:16">
      <c r="P241" s="12" t="s">
        <v>409</v>
      </c>
    </row>
    <row r="242" spans="16:16">
      <c r="P242" s="12" t="s">
        <v>1415</v>
      </c>
    </row>
    <row r="243" spans="16:16">
      <c r="P243" s="12" t="s">
        <v>2398</v>
      </c>
    </row>
    <row r="244" spans="16:16">
      <c r="P244" s="12" t="s">
        <v>2325</v>
      </c>
    </row>
    <row r="245" spans="16:16">
      <c r="P245" s="12" t="s">
        <v>826</v>
      </c>
    </row>
    <row r="246" spans="16:16">
      <c r="P246" s="12" t="s">
        <v>1117</v>
      </c>
    </row>
    <row r="247" spans="16:16">
      <c r="P247" s="12" t="s">
        <v>1341</v>
      </c>
    </row>
    <row r="248" spans="16:16">
      <c r="P248" s="12" t="s">
        <v>924</v>
      </c>
    </row>
    <row r="249" spans="16:16">
      <c r="P249" s="12" t="s">
        <v>145</v>
      </c>
    </row>
    <row r="250" spans="16:16">
      <c r="P250" s="12" t="s">
        <v>2500</v>
      </c>
    </row>
    <row r="251" spans="16:16">
      <c r="P251" s="12" t="s">
        <v>1948</v>
      </c>
    </row>
    <row r="252" spans="16:16">
      <c r="P252" s="12" t="s">
        <v>527</v>
      </c>
    </row>
    <row r="253" spans="16:16">
      <c r="P253" s="12" t="s">
        <v>2090</v>
      </c>
    </row>
    <row r="254" spans="16:16">
      <c r="P254" s="12" t="s">
        <v>343</v>
      </c>
    </row>
    <row r="255" spans="16:16">
      <c r="P255" s="12" t="s">
        <v>2106</v>
      </c>
    </row>
    <row r="256" spans="16:16">
      <c r="P256" s="12" t="s">
        <v>1743</v>
      </c>
    </row>
    <row r="257" spans="16:16">
      <c r="P257" s="12" t="s">
        <v>740</v>
      </c>
    </row>
    <row r="258" spans="16:16">
      <c r="P258" s="12" t="s">
        <v>2409</v>
      </c>
    </row>
    <row r="259" spans="16:16">
      <c r="P259" s="12" t="s">
        <v>624</v>
      </c>
    </row>
    <row r="260" spans="16:16">
      <c r="P260" s="12" t="s">
        <v>1099</v>
      </c>
    </row>
    <row r="261" spans="16:16">
      <c r="P261" s="12" t="s">
        <v>2315</v>
      </c>
    </row>
    <row r="262" spans="16:16">
      <c r="P262" s="12" t="s">
        <v>917</v>
      </c>
    </row>
    <row r="263" spans="16:16">
      <c r="P263" s="12" t="s">
        <v>163</v>
      </c>
    </row>
    <row r="264" spans="16:16">
      <c r="P264" s="12" t="s">
        <v>902</v>
      </c>
    </row>
    <row r="265" spans="16:16">
      <c r="P265" s="12" t="s">
        <v>2278</v>
      </c>
    </row>
    <row r="266" spans="16:16">
      <c r="P266" s="12" t="s">
        <v>2426</v>
      </c>
    </row>
    <row r="267" spans="16:16">
      <c r="P267" s="12" t="s">
        <v>85</v>
      </c>
    </row>
    <row r="268" spans="16:16">
      <c r="P268" s="12" t="s">
        <v>667</v>
      </c>
    </row>
    <row r="269" spans="16:16">
      <c r="P269" s="12" t="s">
        <v>1337</v>
      </c>
    </row>
    <row r="270" spans="16:16">
      <c r="P270" s="12" t="s">
        <v>1289</v>
      </c>
    </row>
    <row r="271" spans="16:16">
      <c r="P271" s="12" t="s">
        <v>1802</v>
      </c>
    </row>
    <row r="272" spans="16:16">
      <c r="P272" s="12" t="s">
        <v>999</v>
      </c>
    </row>
    <row r="273" spans="16:16">
      <c r="P273" s="12" t="s">
        <v>1419</v>
      </c>
    </row>
    <row r="274" spans="16:16">
      <c r="P274" s="12" t="s">
        <v>2181</v>
      </c>
    </row>
    <row r="275" spans="16:16">
      <c r="P275" s="12" t="s">
        <v>2019</v>
      </c>
    </row>
    <row r="276" spans="16:16">
      <c r="P276" s="12" t="s">
        <v>1496</v>
      </c>
    </row>
    <row r="277" spans="16:16">
      <c r="P277" s="12" t="s">
        <v>973</v>
      </c>
    </row>
    <row r="278" spans="16:16">
      <c r="P278" s="12" t="s">
        <v>256</v>
      </c>
    </row>
    <row r="279" spans="16:16">
      <c r="P279" s="12" t="s">
        <v>1410</v>
      </c>
    </row>
    <row r="280" spans="16:16">
      <c r="P280" s="12" t="s">
        <v>704</v>
      </c>
    </row>
    <row r="281" spans="16:16">
      <c r="P281" s="12" t="s">
        <v>2408</v>
      </c>
    </row>
    <row r="282" spans="16:16">
      <c r="P282" s="12" t="s">
        <v>287</v>
      </c>
    </row>
    <row r="283" spans="16:16">
      <c r="P283" s="12" t="s">
        <v>1329</v>
      </c>
    </row>
    <row r="284" spans="16:16">
      <c r="P284" s="12" t="s">
        <v>2117</v>
      </c>
    </row>
    <row r="285" spans="16:16">
      <c r="P285" s="12" t="s">
        <v>698</v>
      </c>
    </row>
    <row r="286" spans="16:16">
      <c r="P286" s="12" t="s">
        <v>485</v>
      </c>
    </row>
    <row r="287" spans="16:16">
      <c r="P287" s="12" t="s">
        <v>1179</v>
      </c>
    </row>
    <row r="288" spans="16:16">
      <c r="P288" s="12" t="s">
        <v>811</v>
      </c>
    </row>
    <row r="289" spans="16:16">
      <c r="P289" s="12" t="s">
        <v>1760</v>
      </c>
    </row>
    <row r="290" spans="16:16">
      <c r="P290" s="12" t="s">
        <v>1448</v>
      </c>
    </row>
    <row r="291" spans="16:16">
      <c r="P291" s="12" t="s">
        <v>2211</v>
      </c>
    </row>
    <row r="292" spans="16:16">
      <c r="P292" s="12" t="s">
        <v>1497</v>
      </c>
    </row>
    <row r="293" spans="16:16">
      <c r="P293" s="12" t="s">
        <v>2158</v>
      </c>
    </row>
    <row r="294" spans="16:16">
      <c r="P294" s="12" t="s">
        <v>1973</v>
      </c>
    </row>
    <row r="295" spans="16:16">
      <c r="P295" s="12" t="s">
        <v>927</v>
      </c>
    </row>
    <row r="296" spans="16:16">
      <c r="P296" s="12" t="s">
        <v>828</v>
      </c>
    </row>
    <row r="297" spans="16:16">
      <c r="P297" s="12" t="s">
        <v>365</v>
      </c>
    </row>
    <row r="298" spans="16:16">
      <c r="P298" s="12" t="s">
        <v>514</v>
      </c>
    </row>
    <row r="299" spans="16:16">
      <c r="P299" s="12" t="s">
        <v>1076</v>
      </c>
    </row>
    <row r="300" spans="16:16">
      <c r="P300" s="12" t="s">
        <v>2284</v>
      </c>
    </row>
    <row r="301" spans="16:16">
      <c r="P301" s="12" t="s">
        <v>1106</v>
      </c>
    </row>
    <row r="302" spans="16:16">
      <c r="P302" s="12" t="s">
        <v>682</v>
      </c>
    </row>
    <row r="303" spans="16:16">
      <c r="P303" s="12" t="s">
        <v>585</v>
      </c>
    </row>
    <row r="304" spans="16:16">
      <c r="P304" s="12" t="s">
        <v>1395</v>
      </c>
    </row>
    <row r="305" spans="16:16">
      <c r="P305" s="12" t="s">
        <v>1664</v>
      </c>
    </row>
    <row r="306" spans="16:16">
      <c r="P306" s="12" t="s">
        <v>2113</v>
      </c>
    </row>
    <row r="307" spans="16:16">
      <c r="P307" s="12" t="s">
        <v>626</v>
      </c>
    </row>
    <row r="308" spans="16:16">
      <c r="P308" s="12" t="s">
        <v>239</v>
      </c>
    </row>
    <row r="309" spans="16:16">
      <c r="P309" s="12" t="s">
        <v>877</v>
      </c>
    </row>
    <row r="310" spans="16:16">
      <c r="P310" s="12" t="s">
        <v>782</v>
      </c>
    </row>
    <row r="311" spans="16:16">
      <c r="P311" s="12" t="s">
        <v>1523</v>
      </c>
    </row>
    <row r="312" spans="16:16">
      <c r="P312" s="12" t="s">
        <v>2345</v>
      </c>
    </row>
    <row r="313" spans="16:16">
      <c r="P313" s="12" t="s">
        <v>648</v>
      </c>
    </row>
    <row r="314" spans="16:16">
      <c r="P314" s="12" t="s">
        <v>460</v>
      </c>
    </row>
    <row r="315" spans="16:16">
      <c r="P315" s="12" t="s">
        <v>711</v>
      </c>
    </row>
    <row r="316" spans="16:16">
      <c r="P316" s="12" t="s">
        <v>187</v>
      </c>
    </row>
    <row r="317" spans="16:16">
      <c r="P317" s="12" t="s">
        <v>472</v>
      </c>
    </row>
    <row r="318" spans="16:16">
      <c r="P318" s="12" t="s">
        <v>1922</v>
      </c>
    </row>
    <row r="319" spans="16:16">
      <c r="P319" s="12" t="s">
        <v>230</v>
      </c>
    </row>
    <row r="320" spans="16:16">
      <c r="P320" s="12" t="s">
        <v>663</v>
      </c>
    </row>
    <row r="321" spans="16:16">
      <c r="P321" s="12" t="s">
        <v>2441</v>
      </c>
    </row>
    <row r="322" spans="16:16">
      <c r="P322" s="12" t="s">
        <v>628</v>
      </c>
    </row>
    <row r="323" spans="16:16">
      <c r="P323" s="12" t="s">
        <v>1690</v>
      </c>
    </row>
    <row r="324" spans="16:16">
      <c r="P324" s="12" t="s">
        <v>594</v>
      </c>
    </row>
    <row r="325" spans="16:16">
      <c r="P325" s="12" t="s">
        <v>994</v>
      </c>
    </row>
    <row r="326" spans="16:16">
      <c r="P326" s="12" t="s">
        <v>2015</v>
      </c>
    </row>
    <row r="327" spans="16:16">
      <c r="P327" s="12" t="s">
        <v>815</v>
      </c>
    </row>
    <row r="328" spans="16:16">
      <c r="P328" s="12" t="s">
        <v>889</v>
      </c>
    </row>
    <row r="329" spans="16:16">
      <c r="P329" s="12" t="s">
        <v>1454</v>
      </c>
    </row>
    <row r="330" spans="16:16">
      <c r="P330" s="12" t="s">
        <v>2273</v>
      </c>
    </row>
    <row r="331" spans="16:16">
      <c r="P331" s="12" t="s">
        <v>2465</v>
      </c>
    </row>
    <row r="332" spans="16:16">
      <c r="P332" s="12" t="s">
        <v>1345</v>
      </c>
    </row>
    <row r="333" spans="16:16">
      <c r="P333" s="12" t="s">
        <v>2279</v>
      </c>
    </row>
    <row r="334" spans="16:16">
      <c r="P334" s="12" t="s">
        <v>724</v>
      </c>
    </row>
    <row r="335" spans="16:16">
      <c r="P335" s="12" t="s">
        <v>1192</v>
      </c>
    </row>
    <row r="336" spans="16:16">
      <c r="P336" s="12" t="s">
        <v>1469</v>
      </c>
    </row>
    <row r="337" spans="16:16">
      <c r="P337" s="12" t="s">
        <v>102</v>
      </c>
    </row>
    <row r="338" spans="16:16">
      <c r="P338" s="12" t="s">
        <v>127</v>
      </c>
    </row>
    <row r="339" spans="16:16">
      <c r="P339" s="12" t="s">
        <v>1805</v>
      </c>
    </row>
    <row r="340" spans="16:16">
      <c r="P340" s="12" t="s">
        <v>1487</v>
      </c>
    </row>
    <row r="341" spans="16:16">
      <c r="P341" s="12" t="s">
        <v>1044</v>
      </c>
    </row>
    <row r="342" spans="16:16">
      <c r="P342" s="12" t="s">
        <v>1348</v>
      </c>
    </row>
    <row r="343" spans="16:16">
      <c r="P343" s="12" t="s">
        <v>967</v>
      </c>
    </row>
    <row r="344" spans="16:16">
      <c r="P344" s="12" t="s">
        <v>31</v>
      </c>
    </row>
    <row r="345" spans="16:16">
      <c r="P345" s="12" t="s">
        <v>744</v>
      </c>
    </row>
    <row r="346" spans="16:16">
      <c r="P346" s="12" t="s">
        <v>1879</v>
      </c>
    </row>
    <row r="347" spans="16:16">
      <c r="P347" s="12" t="s">
        <v>1625</v>
      </c>
    </row>
    <row r="348" spans="16:16">
      <c r="P348" s="12" t="s">
        <v>940</v>
      </c>
    </row>
    <row r="349" spans="16:16">
      <c r="P349" s="12" t="s">
        <v>2050</v>
      </c>
    </row>
    <row r="350" spans="16:16">
      <c r="P350" s="12" t="s">
        <v>716</v>
      </c>
    </row>
    <row r="351" spans="16:16">
      <c r="P351" s="12" t="s">
        <v>2474</v>
      </c>
    </row>
    <row r="352" spans="16:16">
      <c r="P352" s="12" t="s">
        <v>1169</v>
      </c>
    </row>
    <row r="353" spans="16:16">
      <c r="P353" s="12" t="s">
        <v>424</v>
      </c>
    </row>
    <row r="354" spans="16:16">
      <c r="P354" s="12" t="s">
        <v>297</v>
      </c>
    </row>
    <row r="355" spans="16:16">
      <c r="P355" s="12" t="s">
        <v>2452</v>
      </c>
    </row>
    <row r="356" spans="16:16">
      <c r="P356" s="12" t="s">
        <v>1673</v>
      </c>
    </row>
    <row r="357" spans="16:16">
      <c r="P357" s="12" t="s">
        <v>150</v>
      </c>
    </row>
    <row r="358" spans="16:16">
      <c r="P358" s="12" t="s">
        <v>2296</v>
      </c>
    </row>
    <row r="359" spans="16:16">
      <c r="P359" s="12" t="s">
        <v>507</v>
      </c>
    </row>
    <row r="360" spans="16:16">
      <c r="P360" s="12" t="s">
        <v>2692</v>
      </c>
    </row>
    <row r="361" spans="16:16">
      <c r="P361" s="12" t="s">
        <v>1297</v>
      </c>
    </row>
    <row r="362" spans="16:16">
      <c r="P362" s="12" t="s">
        <v>831</v>
      </c>
    </row>
    <row r="363" spans="16:16">
      <c r="P363" s="12" t="s">
        <v>225</v>
      </c>
    </row>
    <row r="364" spans="16:16">
      <c r="P364" s="12" t="s">
        <v>1939</v>
      </c>
    </row>
    <row r="365" spans="16:16">
      <c r="P365" s="12" t="s">
        <v>1163</v>
      </c>
    </row>
    <row r="366" spans="16:16">
      <c r="P366" s="12" t="s">
        <v>1953</v>
      </c>
    </row>
    <row r="367" spans="16:16">
      <c r="P367" s="12" t="s">
        <v>1489</v>
      </c>
    </row>
    <row r="368" spans="16:16">
      <c r="P368" s="12" t="s">
        <v>1619</v>
      </c>
    </row>
    <row r="369" spans="16:16">
      <c r="P369" s="12" t="s">
        <v>1147</v>
      </c>
    </row>
    <row r="370" spans="16:16">
      <c r="P370" s="12" t="s">
        <v>1290</v>
      </c>
    </row>
    <row r="371" spans="16:16">
      <c r="P371" s="12" t="s">
        <v>1959</v>
      </c>
    </row>
    <row r="372" spans="16:16">
      <c r="P372" s="12" t="s">
        <v>1450</v>
      </c>
    </row>
    <row r="373" spans="16:16">
      <c r="P373" s="12" t="s">
        <v>2488</v>
      </c>
    </row>
    <row r="374" spans="16:16">
      <c r="P374" s="12" t="s">
        <v>251</v>
      </c>
    </row>
    <row r="375" spans="16:16">
      <c r="P375" s="12" t="s">
        <v>1468</v>
      </c>
    </row>
    <row r="376" spans="16:16">
      <c r="P376" s="12" t="s">
        <v>751</v>
      </c>
    </row>
    <row r="377" spans="16:16">
      <c r="P377" s="12" t="s">
        <v>1334</v>
      </c>
    </row>
    <row r="378" spans="16:16">
      <c r="P378" s="12" t="s">
        <v>497</v>
      </c>
    </row>
    <row r="379" spans="16:16">
      <c r="P379" s="12" t="s">
        <v>2413</v>
      </c>
    </row>
    <row r="380" spans="16:16">
      <c r="P380" s="12" t="s">
        <v>2550</v>
      </c>
    </row>
    <row r="381" spans="16:16">
      <c r="P381" s="12" t="s">
        <v>1175</v>
      </c>
    </row>
    <row r="382" spans="16:16">
      <c r="P382" s="12" t="s">
        <v>1654</v>
      </c>
    </row>
    <row r="383" spans="16:16">
      <c r="P383" s="12" t="s">
        <v>859</v>
      </c>
    </row>
    <row r="384" spans="16:16">
      <c r="P384" s="12" t="s">
        <v>2282</v>
      </c>
    </row>
    <row r="385" spans="16:16">
      <c r="P385" s="12" t="s">
        <v>1303</v>
      </c>
    </row>
    <row r="386" spans="16:16">
      <c r="P386" s="12" t="s">
        <v>1996</v>
      </c>
    </row>
    <row r="387" spans="16:16">
      <c r="P387" s="12" t="s">
        <v>464</v>
      </c>
    </row>
    <row r="388" spans="16:16">
      <c r="P388" s="12" t="s">
        <v>683</v>
      </c>
    </row>
    <row r="389" spans="16:16">
      <c r="P389" s="12" t="s">
        <v>539</v>
      </c>
    </row>
    <row r="390" spans="16:16">
      <c r="P390" s="12" t="s">
        <v>1006</v>
      </c>
    </row>
    <row r="391" spans="16:16">
      <c r="P391" s="12" t="s">
        <v>1663</v>
      </c>
    </row>
    <row r="392" spans="16:16">
      <c r="P392" s="12" t="s">
        <v>505</v>
      </c>
    </row>
    <row r="393" spans="16:16">
      <c r="P393" s="12" t="s">
        <v>389</v>
      </c>
    </row>
    <row r="394" spans="16:16">
      <c r="P394" s="12" t="s">
        <v>2114</v>
      </c>
    </row>
    <row r="395" spans="16:16">
      <c r="P395" s="12" t="s">
        <v>1754</v>
      </c>
    </row>
    <row r="396" spans="16:16">
      <c r="P396" s="12" t="s">
        <v>607</v>
      </c>
    </row>
    <row r="397" spans="16:16">
      <c r="P397" s="12" t="s">
        <v>2199</v>
      </c>
    </row>
    <row r="398" spans="16:16">
      <c r="P398" s="12" t="s">
        <v>1322</v>
      </c>
    </row>
    <row r="399" spans="16:16">
      <c r="P399" s="12" t="s">
        <v>1104</v>
      </c>
    </row>
    <row r="400" spans="16:16">
      <c r="P400" s="12" t="s">
        <v>2431</v>
      </c>
    </row>
    <row r="401" spans="16:16">
      <c r="P401" s="12" t="s">
        <v>1435</v>
      </c>
    </row>
    <row r="402" spans="16:16">
      <c r="P402" s="12" t="s">
        <v>227</v>
      </c>
    </row>
    <row r="403" spans="16:16">
      <c r="P403" s="12" t="s">
        <v>2059</v>
      </c>
    </row>
    <row r="404" spans="16:16">
      <c r="P404" s="12" t="s">
        <v>1375</v>
      </c>
    </row>
    <row r="405" spans="16:16">
      <c r="P405" s="12" t="s">
        <v>1968</v>
      </c>
    </row>
    <row r="406" spans="16:16">
      <c r="P406" s="12" t="s">
        <v>2041</v>
      </c>
    </row>
    <row r="407" spans="16:16">
      <c r="P407" s="12" t="s">
        <v>1657</v>
      </c>
    </row>
    <row r="408" spans="16:16">
      <c r="P408" s="12" t="s">
        <v>1549</v>
      </c>
    </row>
    <row r="409" spans="16:16">
      <c r="P409" s="12" t="s">
        <v>1371</v>
      </c>
    </row>
    <row r="410" spans="16:16">
      <c r="P410" s="12" t="s">
        <v>1637</v>
      </c>
    </row>
    <row r="411" spans="16:16">
      <c r="P411" s="12" t="s">
        <v>2643</v>
      </c>
    </row>
    <row r="412" spans="16:16">
      <c r="P412" s="12" t="s">
        <v>2081</v>
      </c>
    </row>
    <row r="413" spans="16:16">
      <c r="P413" s="12" t="s">
        <v>601</v>
      </c>
    </row>
    <row r="414" spans="16:16">
      <c r="P414" s="12" t="s">
        <v>2254</v>
      </c>
    </row>
    <row r="415" spans="16:16">
      <c r="P415" s="12" t="s">
        <v>2149</v>
      </c>
    </row>
    <row r="416" spans="16:16">
      <c r="P416" s="12" t="s">
        <v>429</v>
      </c>
    </row>
    <row r="417" spans="16:16">
      <c r="P417" s="12" t="s">
        <v>1244</v>
      </c>
    </row>
    <row r="418" spans="16:16">
      <c r="P418" s="12" t="s">
        <v>1600</v>
      </c>
    </row>
    <row r="419" spans="16:16">
      <c r="P419" s="12" t="s">
        <v>1387</v>
      </c>
    </row>
    <row r="420" spans="16:16">
      <c r="P420" s="12" t="s">
        <v>1900</v>
      </c>
    </row>
    <row r="421" spans="16:16">
      <c r="P421" s="12" t="s">
        <v>1180</v>
      </c>
    </row>
    <row r="422" spans="16:16">
      <c r="P422" s="12" t="s">
        <v>435</v>
      </c>
    </row>
    <row r="423" spans="16:16">
      <c r="P423" s="12" t="s">
        <v>1209</v>
      </c>
    </row>
    <row r="424" spans="16:16">
      <c r="P424" s="12" t="s">
        <v>598</v>
      </c>
    </row>
    <row r="425" spans="16:16">
      <c r="P425" s="12" t="s">
        <v>975</v>
      </c>
    </row>
    <row r="426" spans="16:16">
      <c r="P426" s="12" t="s">
        <v>1738</v>
      </c>
    </row>
    <row r="427" spans="16:16">
      <c r="P427" s="12" t="s">
        <v>2349</v>
      </c>
    </row>
    <row r="428" spans="16:16">
      <c r="P428" s="12" t="s">
        <v>447</v>
      </c>
    </row>
    <row r="429" spans="16:16">
      <c r="P429" s="12" t="s">
        <v>2214</v>
      </c>
    </row>
    <row r="430" spans="16:16">
      <c r="P430" s="12" t="s">
        <v>521</v>
      </c>
    </row>
    <row r="431" spans="16:16">
      <c r="P431" s="12" t="s">
        <v>1256</v>
      </c>
    </row>
    <row r="432" spans="16:16">
      <c r="P432" s="12" t="s">
        <v>279</v>
      </c>
    </row>
    <row r="433" spans="16:16">
      <c r="P433" s="12" t="s">
        <v>1396</v>
      </c>
    </row>
    <row r="434" spans="16:16">
      <c r="P434" s="12" t="s">
        <v>1123</v>
      </c>
    </row>
    <row r="435" spans="16:16">
      <c r="P435" s="12" t="s">
        <v>285</v>
      </c>
    </row>
    <row r="436" spans="16:16">
      <c r="P436" s="12" t="s">
        <v>2310</v>
      </c>
    </row>
    <row r="437" spans="16:16">
      <c r="P437" s="12" t="s">
        <v>819</v>
      </c>
    </row>
    <row r="438" spans="16:16">
      <c r="P438" s="12" t="s">
        <v>1414</v>
      </c>
    </row>
    <row r="439" spans="16:16">
      <c r="P439" s="12" t="s">
        <v>454</v>
      </c>
    </row>
    <row r="440" spans="16:16">
      <c r="P440" s="12" t="s">
        <v>1868</v>
      </c>
    </row>
    <row r="441" spans="16:16">
      <c r="P441" s="12" t="s">
        <v>2244</v>
      </c>
    </row>
    <row r="442" spans="16:16">
      <c r="P442" s="12" t="s">
        <v>1540</v>
      </c>
    </row>
    <row r="443" spans="16:16">
      <c r="P443" s="12" t="s">
        <v>1014</v>
      </c>
    </row>
    <row r="444" spans="16:16">
      <c r="P444" s="12" t="s">
        <v>1824</v>
      </c>
    </row>
    <row r="445" spans="16:16">
      <c r="P445" s="12" t="s">
        <v>1785</v>
      </c>
    </row>
    <row r="446" spans="16:16">
      <c r="P446" s="12" t="s">
        <v>359</v>
      </c>
    </row>
    <row r="447" spans="16:16">
      <c r="P447" s="12" t="s">
        <v>241</v>
      </c>
    </row>
    <row r="448" spans="16:16">
      <c r="P448" s="12" t="s">
        <v>407</v>
      </c>
    </row>
    <row r="449" spans="16:16">
      <c r="P449" s="12" t="s">
        <v>2575</v>
      </c>
    </row>
    <row r="450" spans="16:16">
      <c r="P450" s="12" t="s">
        <v>1358</v>
      </c>
    </row>
    <row r="451" spans="16:16">
      <c r="P451" s="12" t="s">
        <v>1202</v>
      </c>
    </row>
    <row r="452" spans="16:16">
      <c r="P452" s="12" t="s">
        <v>595</v>
      </c>
    </row>
    <row r="453" spans="16:16">
      <c r="P453" s="12" t="s">
        <v>564</v>
      </c>
    </row>
    <row r="454" spans="16:16">
      <c r="P454" s="12" t="s">
        <v>734</v>
      </c>
    </row>
    <row r="455" spans="16:16">
      <c r="P455" s="12" t="s">
        <v>745</v>
      </c>
    </row>
    <row r="456" spans="16:16">
      <c r="P456" s="12" t="s">
        <v>592</v>
      </c>
    </row>
    <row r="457" spans="16:16">
      <c r="P457" s="12" t="s">
        <v>2558</v>
      </c>
    </row>
    <row r="458" spans="16:16">
      <c r="P458" s="12" t="s">
        <v>2062</v>
      </c>
    </row>
    <row r="459" spans="16:16">
      <c r="P459" s="12" t="s">
        <v>569</v>
      </c>
    </row>
    <row r="460" spans="16:16">
      <c r="P460" s="12" t="s">
        <v>1140</v>
      </c>
    </row>
    <row r="461" spans="16:16">
      <c r="P461" s="12" t="s">
        <v>1081</v>
      </c>
    </row>
    <row r="462" spans="16:16">
      <c r="P462" s="12" t="s">
        <v>214</v>
      </c>
    </row>
    <row r="463" spans="16:16">
      <c r="P463" s="12" t="s">
        <v>2044</v>
      </c>
    </row>
    <row r="464" spans="16:16">
      <c r="P464" s="12" t="s">
        <v>1924</v>
      </c>
    </row>
    <row r="465" spans="16:16">
      <c r="P465" s="12" t="s">
        <v>1499</v>
      </c>
    </row>
    <row r="466" spans="16:16">
      <c r="P466" s="12" t="s">
        <v>2512</v>
      </c>
    </row>
    <row r="467" spans="16:16">
      <c r="P467" s="12" t="s">
        <v>1407</v>
      </c>
    </row>
    <row r="468" spans="16:16">
      <c r="P468" s="12" t="s">
        <v>1243</v>
      </c>
    </row>
    <row r="469" spans="16:16">
      <c r="P469" s="12" t="s">
        <v>1232</v>
      </c>
    </row>
    <row r="470" spans="16:16">
      <c r="P470" s="12" t="s">
        <v>156</v>
      </c>
    </row>
    <row r="471" spans="16:16">
      <c r="P471" s="12" t="s">
        <v>880</v>
      </c>
    </row>
    <row r="472" spans="16:16">
      <c r="P472" s="12" t="s">
        <v>873</v>
      </c>
    </row>
    <row r="473" spans="16:16">
      <c r="P473" s="12" t="s">
        <v>2542</v>
      </c>
    </row>
    <row r="474" spans="16:16">
      <c r="P474" s="12" t="s">
        <v>762</v>
      </c>
    </row>
    <row r="475" spans="16:16">
      <c r="P475" s="12" t="s">
        <v>1277</v>
      </c>
    </row>
    <row r="476" spans="16:16">
      <c r="P476" s="12" t="s">
        <v>1265</v>
      </c>
    </row>
    <row r="477" spans="16:16">
      <c r="P477" s="12" t="s">
        <v>1780</v>
      </c>
    </row>
    <row r="478" spans="16:16">
      <c r="P478" s="12" t="s">
        <v>1914</v>
      </c>
    </row>
    <row r="479" spans="16:16">
      <c r="P479" s="12" t="s">
        <v>1029</v>
      </c>
    </row>
    <row r="480" spans="16:16">
      <c r="P480" s="12" t="s">
        <v>1485</v>
      </c>
    </row>
    <row r="481" spans="16:16">
      <c r="P481" s="12" t="s">
        <v>1288</v>
      </c>
    </row>
    <row r="482" spans="16:16">
      <c r="P482" s="12" t="s">
        <v>28</v>
      </c>
    </row>
    <row r="483" spans="16:16">
      <c r="P483" s="12" t="s">
        <v>1477</v>
      </c>
    </row>
    <row r="484" spans="16:16">
      <c r="P484" s="12" t="s">
        <v>738</v>
      </c>
    </row>
    <row r="485" spans="16:16">
      <c r="P485" s="12" t="s">
        <v>1253</v>
      </c>
    </row>
    <row r="486" spans="16:16">
      <c r="P486" s="12" t="s">
        <v>578</v>
      </c>
    </row>
    <row r="487" spans="16:16">
      <c r="P487" s="12" t="s">
        <v>1086</v>
      </c>
    </row>
    <row r="488" spans="16:16">
      <c r="P488" s="12" t="s">
        <v>34</v>
      </c>
    </row>
    <row r="489" spans="16:16">
      <c r="P489" s="12" t="s">
        <v>2328</v>
      </c>
    </row>
    <row r="490" spans="16:16">
      <c r="P490" s="12" t="s">
        <v>1573</v>
      </c>
    </row>
    <row r="491" spans="16:16">
      <c r="P491" s="12" t="s">
        <v>1260</v>
      </c>
    </row>
    <row r="492" spans="16:16">
      <c r="P492" s="12" t="s">
        <v>2300</v>
      </c>
    </row>
    <row r="493" spans="16:16">
      <c r="P493" s="12" t="s">
        <v>199</v>
      </c>
    </row>
    <row r="494" spans="16:16">
      <c r="P494" s="12" t="s">
        <v>1618</v>
      </c>
    </row>
    <row r="495" spans="16:16">
      <c r="P495" s="12" t="s">
        <v>750</v>
      </c>
    </row>
    <row r="496" spans="16:16">
      <c r="P496" s="12" t="s">
        <v>172</v>
      </c>
    </row>
    <row r="497" spans="16:16">
      <c r="P497" s="12" t="s">
        <v>937</v>
      </c>
    </row>
    <row r="498" spans="16:16">
      <c r="P498" s="12" t="s">
        <v>415</v>
      </c>
    </row>
    <row r="499" spans="16:16">
      <c r="P499" s="12" t="s">
        <v>109</v>
      </c>
    </row>
    <row r="500" spans="16:16">
      <c r="P500" s="12" t="s">
        <v>1950</v>
      </c>
    </row>
    <row r="501" spans="16:16">
      <c r="P501" s="12" t="s">
        <v>1716</v>
      </c>
    </row>
    <row r="502" spans="16:16">
      <c r="P502" s="12" t="s">
        <v>452</v>
      </c>
    </row>
    <row r="503" spans="16:16">
      <c r="P503" s="12" t="s">
        <v>1564</v>
      </c>
    </row>
    <row r="504" spans="16:16">
      <c r="P504" s="12" t="s">
        <v>1211</v>
      </c>
    </row>
    <row r="505" spans="16:16">
      <c r="P505" s="12" t="s">
        <v>1090</v>
      </c>
    </row>
    <row r="506" spans="16:16">
      <c r="P506" s="12" t="s">
        <v>1740</v>
      </c>
    </row>
    <row r="507" spans="16:16">
      <c r="P507" s="12" t="s">
        <v>691</v>
      </c>
    </row>
    <row r="508" spans="16:16">
      <c r="P508" s="12" t="s">
        <v>348</v>
      </c>
    </row>
    <row r="509" spans="16:16">
      <c r="P509" s="12" t="s">
        <v>2382</v>
      </c>
    </row>
    <row r="510" spans="16:16">
      <c r="P510" s="12" t="s">
        <v>1722</v>
      </c>
    </row>
    <row r="511" spans="16:16">
      <c r="P511" s="12" t="s">
        <v>1101</v>
      </c>
    </row>
    <row r="512" spans="16:16">
      <c r="P512" s="12" t="s">
        <v>1869</v>
      </c>
    </row>
    <row r="513" spans="16:16">
      <c r="P513" s="12" t="s">
        <v>1507</v>
      </c>
    </row>
    <row r="514" spans="16:16">
      <c r="P514" s="12" t="s">
        <v>1844</v>
      </c>
    </row>
    <row r="515" spans="16:16">
      <c r="P515" s="12" t="s">
        <v>382</v>
      </c>
    </row>
    <row r="516" spans="16:16">
      <c r="P516" s="12" t="s">
        <v>947</v>
      </c>
    </row>
    <row r="517" spans="16:16">
      <c r="P517" s="12" t="s">
        <v>2109</v>
      </c>
    </row>
    <row r="518" spans="16:16">
      <c r="P518" s="12" t="s">
        <v>2582</v>
      </c>
    </row>
    <row r="519" spans="16:16">
      <c r="P519" s="12" t="s">
        <v>904</v>
      </c>
    </row>
    <row r="520" spans="16:16">
      <c r="P520" s="12" t="s">
        <v>729</v>
      </c>
    </row>
    <row r="521" spans="16:16">
      <c r="P521" s="12" t="s">
        <v>2250</v>
      </c>
    </row>
    <row r="522" spans="16:16">
      <c r="P522" s="12" t="s">
        <v>2321</v>
      </c>
    </row>
    <row r="523" spans="16:16">
      <c r="P523" s="12" t="s">
        <v>52</v>
      </c>
    </row>
    <row r="524" spans="16:16">
      <c r="P524" s="12" t="s">
        <v>906</v>
      </c>
    </row>
    <row r="525" spans="16:16">
      <c r="P525" s="12" t="s">
        <v>1736</v>
      </c>
    </row>
    <row r="526" spans="16:16">
      <c r="P526" s="12" t="s">
        <v>222</v>
      </c>
    </row>
    <row r="527" spans="16:16">
      <c r="P527" s="12" t="s">
        <v>1865</v>
      </c>
    </row>
    <row r="528" spans="16:16">
      <c r="P528" s="12" t="s">
        <v>1659</v>
      </c>
    </row>
    <row r="529" spans="16:16">
      <c r="P529" s="12" t="s">
        <v>79</v>
      </c>
    </row>
    <row r="530" spans="16:16">
      <c r="P530" s="12" t="s">
        <v>206</v>
      </c>
    </row>
    <row r="531" spans="16:16">
      <c r="P531" s="12" t="s">
        <v>1993</v>
      </c>
    </row>
    <row r="532" spans="16:16">
      <c r="P532" s="12" t="s">
        <v>2035</v>
      </c>
    </row>
    <row r="533" spans="16:16">
      <c r="P533" s="12" t="s">
        <v>894</v>
      </c>
    </row>
    <row r="534" spans="16:16">
      <c r="P534" s="12" t="s">
        <v>1340</v>
      </c>
    </row>
    <row r="535" spans="16:16">
      <c r="P535" s="12" t="s">
        <v>991</v>
      </c>
    </row>
    <row r="536" spans="16:16">
      <c r="P536" s="12" t="s">
        <v>923</v>
      </c>
    </row>
    <row r="537" spans="16:16">
      <c r="P537" s="12" t="s">
        <v>2663</v>
      </c>
    </row>
    <row r="538" spans="16:16">
      <c r="P538" s="12" t="s">
        <v>516</v>
      </c>
    </row>
    <row r="539" spans="16:16">
      <c r="P539" s="12" t="s">
        <v>1377</v>
      </c>
    </row>
    <row r="540" spans="16:16">
      <c r="P540" s="12" t="s">
        <v>24</v>
      </c>
    </row>
    <row r="541" spans="16:16">
      <c r="P541" s="12" t="s">
        <v>833</v>
      </c>
    </row>
    <row r="542" spans="16:16">
      <c r="P542" s="12" t="s">
        <v>2587</v>
      </c>
    </row>
    <row r="543" spans="16:16">
      <c r="P543" s="12" t="s">
        <v>1332</v>
      </c>
    </row>
    <row r="544" spans="16:16">
      <c r="P544" s="12" t="s">
        <v>405</v>
      </c>
    </row>
    <row r="545" spans="16:16">
      <c r="P545" s="12" t="s">
        <v>1803</v>
      </c>
    </row>
    <row r="546" spans="16:16">
      <c r="P546" s="12" t="s">
        <v>403</v>
      </c>
    </row>
    <row r="547" spans="16:16">
      <c r="P547" s="12" t="s">
        <v>153</v>
      </c>
    </row>
    <row r="548" spans="16:16">
      <c r="P548" s="12" t="s">
        <v>2671</v>
      </c>
    </row>
    <row r="549" spans="16:16">
      <c r="P549" s="12" t="s">
        <v>1174</v>
      </c>
    </row>
    <row r="550" spans="16:16">
      <c r="P550" s="12" t="s">
        <v>694</v>
      </c>
    </row>
    <row r="551" spans="16:16">
      <c r="P551" s="12" t="s">
        <v>1312</v>
      </c>
    </row>
    <row r="552" spans="16:16">
      <c r="P552" s="12" t="s">
        <v>2097</v>
      </c>
    </row>
    <row r="553" spans="16:16">
      <c r="P553" s="12" t="s">
        <v>121</v>
      </c>
    </row>
    <row r="554" spans="16:16">
      <c r="P554" s="12" t="s">
        <v>580</v>
      </c>
    </row>
    <row r="555" spans="16:16">
      <c r="P555" s="12" t="s">
        <v>1537</v>
      </c>
    </row>
    <row r="556" spans="16:16">
      <c r="P556" s="12" t="s">
        <v>669</v>
      </c>
    </row>
    <row r="557" spans="16:16">
      <c r="P557" s="12" t="s">
        <v>419</v>
      </c>
    </row>
    <row r="558" spans="16:16">
      <c r="P558" s="12" t="s">
        <v>1698</v>
      </c>
    </row>
    <row r="559" spans="16:16">
      <c r="P559" s="12" t="s">
        <v>71</v>
      </c>
    </row>
    <row r="560" spans="16:16">
      <c r="P560" s="12" t="s">
        <v>184</v>
      </c>
    </row>
    <row r="561" spans="16:16">
      <c r="P561" s="12" t="s">
        <v>850</v>
      </c>
    </row>
    <row r="562" spans="16:16">
      <c r="P562" s="12" t="s">
        <v>609</v>
      </c>
    </row>
    <row r="563" spans="16:16">
      <c r="P563" s="12" t="s">
        <v>1689</v>
      </c>
    </row>
    <row r="564" spans="16:16">
      <c r="P564" s="12" t="s">
        <v>182</v>
      </c>
    </row>
    <row r="565" spans="16:16">
      <c r="P565" s="12" t="s">
        <v>173</v>
      </c>
    </row>
    <row r="566" spans="16:16">
      <c r="P566" s="12" t="s">
        <v>307</v>
      </c>
    </row>
    <row r="567" spans="16:16">
      <c r="P567" s="12" t="s">
        <v>2085</v>
      </c>
    </row>
    <row r="568" spans="16:16">
      <c r="P568" s="12" t="s">
        <v>2633</v>
      </c>
    </row>
    <row r="569" spans="16:16">
      <c r="P569" s="12" t="s">
        <v>2232</v>
      </c>
    </row>
    <row r="570" spans="16:16">
      <c r="P570" s="12" t="s">
        <v>1011</v>
      </c>
    </row>
    <row r="571" spans="16:16">
      <c r="P571" s="12" t="s">
        <v>791</v>
      </c>
    </row>
    <row r="572" spans="16:16">
      <c r="P572" s="12" t="s">
        <v>1048</v>
      </c>
    </row>
    <row r="573" spans="16:16">
      <c r="P573" s="12" t="s">
        <v>1383</v>
      </c>
    </row>
    <row r="574" spans="16:16">
      <c r="P574" s="12" t="s">
        <v>547</v>
      </c>
    </row>
    <row r="575" spans="16:16">
      <c r="P575" s="12" t="s">
        <v>243</v>
      </c>
    </row>
    <row r="576" spans="16:16">
      <c r="P576" s="12" t="s">
        <v>1521</v>
      </c>
    </row>
    <row r="577" spans="16:16">
      <c r="P577" s="12" t="s">
        <v>875</v>
      </c>
    </row>
    <row r="578" spans="16:16">
      <c r="P578" s="12" t="s">
        <v>1750</v>
      </c>
    </row>
    <row r="579" spans="16:16">
      <c r="P579" s="12" t="s">
        <v>1928</v>
      </c>
    </row>
    <row r="580" spans="16:16">
      <c r="P580" s="12" t="s">
        <v>270</v>
      </c>
    </row>
    <row r="581" spans="16:16">
      <c r="P581" s="12" t="s">
        <v>1213</v>
      </c>
    </row>
    <row r="582" spans="16:16">
      <c r="P582" s="12" t="s">
        <v>1291</v>
      </c>
    </row>
    <row r="583" spans="16:16">
      <c r="P583" s="12" t="s">
        <v>2039</v>
      </c>
    </row>
    <row r="584" spans="16:16">
      <c r="P584" s="12" t="s">
        <v>1873</v>
      </c>
    </row>
    <row r="585" spans="16:16">
      <c r="P585" s="12" t="s">
        <v>822</v>
      </c>
    </row>
    <row r="586" spans="16:16">
      <c r="P586" s="12" t="s">
        <v>2178</v>
      </c>
    </row>
    <row r="587" spans="16:16">
      <c r="P587" s="12" t="s">
        <v>2348</v>
      </c>
    </row>
    <row r="588" spans="16:16">
      <c r="P588" s="12" t="s">
        <v>637</v>
      </c>
    </row>
    <row r="589" spans="16:16">
      <c r="P589" s="12" t="s">
        <v>736</v>
      </c>
    </row>
    <row r="590" spans="16:16">
      <c r="P590" s="12" t="s">
        <v>1548</v>
      </c>
    </row>
    <row r="591" spans="16:16">
      <c r="P591" s="12" t="s">
        <v>375</v>
      </c>
    </row>
    <row r="592" spans="16:16">
      <c r="P592" s="12" t="s">
        <v>1214</v>
      </c>
    </row>
    <row r="593" spans="16:16">
      <c r="P593" s="12" t="s">
        <v>653</v>
      </c>
    </row>
    <row r="594" spans="16:16">
      <c r="P594" s="12" t="s">
        <v>448</v>
      </c>
    </row>
    <row r="595" spans="16:16">
      <c r="P595" s="12" t="s">
        <v>1543</v>
      </c>
    </row>
    <row r="596" spans="16:16">
      <c r="P596" s="12" t="s">
        <v>612</v>
      </c>
    </row>
    <row r="597" spans="16:16">
      <c r="P597" s="12" t="s">
        <v>1183</v>
      </c>
    </row>
    <row r="598" spans="16:16">
      <c r="P598" s="12" t="s">
        <v>535</v>
      </c>
    </row>
    <row r="599" spans="16:16">
      <c r="P599" s="12" t="s">
        <v>949</v>
      </c>
    </row>
    <row r="600" spans="16:16">
      <c r="P600" s="12" t="s">
        <v>502</v>
      </c>
    </row>
    <row r="601" spans="16:16">
      <c r="P601" s="12" t="s">
        <v>489</v>
      </c>
    </row>
    <row r="602" spans="16:16">
      <c r="P602" s="12" t="s">
        <v>673</v>
      </c>
    </row>
    <row r="603" spans="16:16">
      <c r="P603" s="12" t="s">
        <v>1813</v>
      </c>
    </row>
    <row r="604" spans="16:16">
      <c r="P604" s="12" t="s">
        <v>676</v>
      </c>
    </row>
    <row r="605" spans="16:16">
      <c r="P605" s="12" t="s">
        <v>1595</v>
      </c>
    </row>
    <row r="606" spans="16:16">
      <c r="P606" s="12" t="s">
        <v>1281</v>
      </c>
    </row>
    <row r="607" spans="16:16">
      <c r="P607" s="12" t="s">
        <v>1627</v>
      </c>
    </row>
    <row r="608" spans="16:16">
      <c r="P608" s="12" t="s">
        <v>620</v>
      </c>
    </row>
    <row r="609" spans="16:16">
      <c r="P609" s="12" t="s">
        <v>2407</v>
      </c>
    </row>
    <row r="610" spans="16:16">
      <c r="P610" s="12" t="s">
        <v>955</v>
      </c>
    </row>
    <row r="611" spans="16:16">
      <c r="P611" s="12" t="s">
        <v>1336</v>
      </c>
    </row>
    <row r="612" spans="16:16">
      <c r="P612" s="12" t="s">
        <v>2190</v>
      </c>
    </row>
    <row r="613" spans="16:16">
      <c r="P613" s="12" t="s">
        <v>16</v>
      </c>
    </row>
    <row r="614" spans="16:16">
      <c r="P614" s="12" t="s">
        <v>1684</v>
      </c>
    </row>
    <row r="615" spans="16:16">
      <c r="P615" s="12" t="s">
        <v>2560</v>
      </c>
    </row>
    <row r="616" spans="16:16">
      <c r="P616" s="12" t="s">
        <v>1645</v>
      </c>
    </row>
    <row r="617" spans="16:16">
      <c r="P617" s="12" t="s">
        <v>336</v>
      </c>
    </row>
    <row r="618" spans="16:16">
      <c r="P618" s="12" t="s">
        <v>1491</v>
      </c>
    </row>
    <row r="619" spans="16:16">
      <c r="P619" s="12" t="s">
        <v>1783</v>
      </c>
    </row>
    <row r="620" spans="16:16">
      <c r="P620" s="12" t="s">
        <v>2168</v>
      </c>
    </row>
    <row r="621" spans="16:16">
      <c r="P621" s="12" t="s">
        <v>2629</v>
      </c>
    </row>
    <row r="622" spans="16:16">
      <c r="P622" s="12" t="s">
        <v>1643</v>
      </c>
    </row>
    <row r="623" spans="16:16">
      <c r="P623" s="12" t="s">
        <v>686</v>
      </c>
    </row>
    <row r="624" spans="16:16">
      <c r="P624" s="12" t="s">
        <v>2476</v>
      </c>
    </row>
    <row r="625" spans="16:16">
      <c r="P625" s="12" t="s">
        <v>657</v>
      </c>
    </row>
    <row r="626" spans="16:16">
      <c r="P626" s="12" t="s">
        <v>714</v>
      </c>
    </row>
    <row r="627" spans="16:16">
      <c r="P627" s="12" t="s">
        <v>1867</v>
      </c>
    </row>
    <row r="628" spans="16:16">
      <c r="P628" s="12" t="s">
        <v>1072</v>
      </c>
    </row>
    <row r="629" spans="16:16">
      <c r="P629" s="12" t="s">
        <v>291</v>
      </c>
    </row>
    <row r="630" spans="16:16">
      <c r="P630" s="12" t="s">
        <v>773</v>
      </c>
    </row>
    <row r="631" spans="16:16">
      <c r="P631" s="12" t="s">
        <v>303</v>
      </c>
    </row>
    <row r="632" spans="16:16">
      <c r="P632" s="12" t="s">
        <v>796</v>
      </c>
    </row>
    <row r="633" spans="16:16">
      <c r="P633" s="12" t="s">
        <v>1150</v>
      </c>
    </row>
    <row r="634" spans="16:16">
      <c r="P634" s="12" t="s">
        <v>1631</v>
      </c>
    </row>
    <row r="635" spans="16:16">
      <c r="P635" s="12" t="s">
        <v>1262</v>
      </c>
    </row>
    <row r="636" spans="16:16">
      <c r="P636" s="12" t="s">
        <v>1909</v>
      </c>
    </row>
    <row r="637" spans="16:16">
      <c r="P637" s="12" t="s">
        <v>2380</v>
      </c>
    </row>
    <row r="638" spans="16:16">
      <c r="P638" s="12" t="s">
        <v>2505</v>
      </c>
    </row>
    <row r="639" spans="16:16">
      <c r="P639" s="12" t="s">
        <v>439</v>
      </c>
    </row>
    <row r="640" spans="16:16">
      <c r="P640" s="12" t="s">
        <v>2139</v>
      </c>
    </row>
    <row r="641" spans="16:16">
      <c r="P641" s="12" t="s">
        <v>1753</v>
      </c>
    </row>
    <row r="642" spans="16:16">
      <c r="P642" s="12" t="s">
        <v>885</v>
      </c>
    </row>
    <row r="643" spans="16:16">
      <c r="P643" s="12" t="s">
        <v>1153</v>
      </c>
    </row>
    <row r="644" spans="16:16">
      <c r="P644" s="12" t="s">
        <v>2013</v>
      </c>
    </row>
    <row r="645" spans="16:16">
      <c r="P645" s="12" t="s">
        <v>1622</v>
      </c>
    </row>
    <row r="646" spans="16:16">
      <c r="P646" s="12" t="s">
        <v>2536</v>
      </c>
    </row>
    <row r="647" spans="16:16">
      <c r="P647" s="12" t="s">
        <v>2208</v>
      </c>
    </row>
    <row r="648" spans="16:16">
      <c r="P648" s="12" t="s">
        <v>985</v>
      </c>
    </row>
    <row r="649" spans="16:16">
      <c r="P649" s="12" t="s">
        <v>1078</v>
      </c>
    </row>
    <row r="650" spans="16:16">
      <c r="P650" s="12" t="s">
        <v>2659</v>
      </c>
    </row>
    <row r="651" spans="16:16">
      <c r="P651" s="12" t="s">
        <v>492</v>
      </c>
    </row>
    <row r="652" spans="16:16">
      <c r="P652" s="12" t="s">
        <v>2073</v>
      </c>
    </row>
    <row r="653" spans="16:16">
      <c r="P653" s="12" t="s">
        <v>771</v>
      </c>
    </row>
    <row r="654" spans="16:16">
      <c r="P654" s="12" t="s">
        <v>1515</v>
      </c>
    </row>
    <row r="655" spans="16:16">
      <c r="P655" s="12" t="s">
        <v>1749</v>
      </c>
    </row>
    <row r="656" spans="16:16">
      <c r="P656" s="12" t="s">
        <v>1612</v>
      </c>
    </row>
    <row r="657" spans="16:16">
      <c r="P657" s="12" t="s">
        <v>470</v>
      </c>
    </row>
    <row r="658" spans="16:16">
      <c r="P658" s="12" t="s">
        <v>2543</v>
      </c>
    </row>
    <row r="659" spans="16:16">
      <c r="P659" s="12" t="s">
        <v>500</v>
      </c>
    </row>
    <row r="660" spans="16:16">
      <c r="P660" s="12" t="s">
        <v>467</v>
      </c>
    </row>
    <row r="661" spans="16:16">
      <c r="P661" s="12" t="s">
        <v>891</v>
      </c>
    </row>
    <row r="662" spans="16:16">
      <c r="P662" s="12" t="s">
        <v>1431</v>
      </c>
    </row>
    <row r="663" spans="16:16">
      <c r="P663" s="12" t="s">
        <v>1195</v>
      </c>
    </row>
    <row r="664" spans="16:16">
      <c r="P664" s="12" t="s">
        <v>1166</v>
      </c>
    </row>
    <row r="665" spans="16:16">
      <c r="P665" s="12" t="s">
        <v>1773</v>
      </c>
    </row>
    <row r="666" spans="16:16">
      <c r="P666" s="12" t="s">
        <v>2641</v>
      </c>
    </row>
    <row r="667" spans="16:16">
      <c r="P667" s="12" t="s">
        <v>1686</v>
      </c>
    </row>
    <row r="668" spans="16:16">
      <c r="P668" s="12" t="s">
        <v>254</v>
      </c>
    </row>
    <row r="669" spans="16:16">
      <c r="P669" s="12" t="s">
        <v>1225</v>
      </c>
    </row>
    <row r="670" spans="16:16">
      <c r="P670" s="12" t="s">
        <v>345</v>
      </c>
    </row>
    <row r="671" spans="16:16">
      <c r="P671" s="12" t="s">
        <v>1275</v>
      </c>
    </row>
    <row r="672" spans="16:16">
      <c r="P672" s="12" t="s">
        <v>2308</v>
      </c>
    </row>
    <row r="673" spans="16:16">
      <c r="P673" s="12" t="s">
        <v>195</v>
      </c>
    </row>
    <row r="674" spans="16:16">
      <c r="P674" s="12" t="s">
        <v>511</v>
      </c>
    </row>
    <row r="675" spans="16:16">
      <c r="P675" s="12" t="s">
        <v>2261</v>
      </c>
    </row>
    <row r="676" spans="16:16">
      <c r="P676" s="12" t="s">
        <v>1682</v>
      </c>
    </row>
    <row r="677" spans="16:16">
      <c r="P677" s="12" t="s">
        <v>1359</v>
      </c>
    </row>
    <row r="678" spans="16:16">
      <c r="P678" s="12" t="s">
        <v>786</v>
      </c>
    </row>
    <row r="679" spans="16:16">
      <c r="P679" s="12" t="s">
        <v>1343</v>
      </c>
    </row>
    <row r="680" spans="16:16">
      <c r="P680" s="12" t="s">
        <v>1830</v>
      </c>
    </row>
    <row r="681" spans="16:16">
      <c r="P681" s="12" t="s">
        <v>1918</v>
      </c>
    </row>
    <row r="682" spans="16:16">
      <c r="P682" s="12" t="s">
        <v>2539</v>
      </c>
    </row>
    <row r="683" spans="16:16">
      <c r="P683" s="12" t="s">
        <v>979</v>
      </c>
    </row>
    <row r="684" spans="16:16">
      <c r="P684" s="12" t="s">
        <v>477</v>
      </c>
    </row>
    <row r="685" spans="16:16">
      <c r="P685" s="12" t="s">
        <v>277</v>
      </c>
    </row>
    <row r="686" spans="16:16">
      <c r="P686" s="12" t="s">
        <v>639</v>
      </c>
    </row>
    <row r="687" spans="16:16">
      <c r="P687" s="12" t="s">
        <v>1801</v>
      </c>
    </row>
    <row r="688" spans="16:16">
      <c r="P688" s="12" t="s">
        <v>338</v>
      </c>
    </row>
    <row r="689" spans="16:16">
      <c r="P689" s="12" t="s">
        <v>2286</v>
      </c>
    </row>
    <row r="690" spans="16:16">
      <c r="P690" s="12" t="s">
        <v>2484</v>
      </c>
    </row>
    <row r="691" spans="16:16">
      <c r="P691" s="12" t="s">
        <v>60</v>
      </c>
    </row>
    <row r="692" spans="16:16">
      <c r="P692" s="12" t="s">
        <v>235</v>
      </c>
    </row>
    <row r="693" spans="16:16">
      <c r="P693" s="12" t="s">
        <v>1550</v>
      </c>
    </row>
    <row r="694" spans="16:16">
      <c r="P694" s="12" t="s">
        <v>742</v>
      </c>
    </row>
    <row r="695" spans="16:16">
      <c r="P695" s="12" t="s">
        <v>817</v>
      </c>
    </row>
    <row r="696" spans="16:16">
      <c r="P696" s="12" t="s">
        <v>2201</v>
      </c>
    </row>
    <row r="697" spans="16:16">
      <c r="P697" s="12" t="s">
        <v>2128</v>
      </c>
    </row>
    <row r="698" spans="16:16">
      <c r="P698" s="12" t="s">
        <v>1025</v>
      </c>
    </row>
    <row r="699" spans="16:16">
      <c r="P699" s="12" t="s">
        <v>133</v>
      </c>
    </row>
    <row r="700" spans="16:16">
      <c r="P700" s="12" t="s">
        <v>1200</v>
      </c>
    </row>
    <row r="701" spans="16:16">
      <c r="P701" s="12" t="s">
        <v>959</v>
      </c>
    </row>
    <row r="702" spans="16:16">
      <c r="P702" s="12" t="s">
        <v>197</v>
      </c>
    </row>
    <row r="703" spans="16:16">
      <c r="P703" s="12" t="s">
        <v>1465</v>
      </c>
    </row>
    <row r="704" spans="16:16">
      <c r="P704" s="12" t="s">
        <v>2119</v>
      </c>
    </row>
    <row r="705" spans="16:16">
      <c r="P705" s="12" t="s">
        <v>824</v>
      </c>
    </row>
    <row r="706" spans="16:16">
      <c r="P706" s="12" t="s">
        <v>1069</v>
      </c>
    </row>
    <row r="707" spans="16:16">
      <c r="P707" s="12" t="s">
        <v>130</v>
      </c>
    </row>
    <row r="708" spans="16:16">
      <c r="P708" s="12" t="s">
        <v>1251</v>
      </c>
    </row>
    <row r="709" spans="16:16">
      <c r="P709" s="12" t="s">
        <v>1800</v>
      </c>
    </row>
    <row r="710" spans="16:16">
      <c r="P710" s="12" t="s">
        <v>538</v>
      </c>
    </row>
    <row r="711" spans="16:16">
      <c r="P711" s="12" t="s">
        <v>2383</v>
      </c>
    </row>
    <row r="712" spans="16:16">
      <c r="P712" s="12" t="s">
        <v>1674</v>
      </c>
    </row>
    <row r="713" spans="16:16">
      <c r="P713" s="12" t="s">
        <v>1799</v>
      </c>
    </row>
    <row r="714" spans="16:16">
      <c r="P714" s="12" t="s">
        <v>630</v>
      </c>
    </row>
    <row r="715" spans="16:16">
      <c r="P715" s="12" t="s">
        <v>770</v>
      </c>
    </row>
    <row r="716" spans="16:16">
      <c r="P716" s="12" t="s">
        <v>217</v>
      </c>
    </row>
    <row r="717" spans="16:16">
      <c r="P717" s="12" t="s">
        <v>1552</v>
      </c>
    </row>
    <row r="718" spans="16:16">
      <c r="P718" s="12" t="s">
        <v>2126</v>
      </c>
    </row>
    <row r="719" spans="16:16">
      <c r="P719" s="12" t="s">
        <v>525</v>
      </c>
    </row>
    <row r="720" spans="16:16">
      <c r="P720" s="12" t="s">
        <v>2390</v>
      </c>
    </row>
    <row r="721" spans="16:16">
      <c r="P721" s="12" t="s">
        <v>2066</v>
      </c>
    </row>
    <row r="722" spans="16:16">
      <c r="P722" s="12" t="s">
        <v>220</v>
      </c>
    </row>
    <row r="723" spans="16:16">
      <c r="P723" s="12" t="s">
        <v>2626</v>
      </c>
    </row>
    <row r="724" spans="16:16">
      <c r="P724" s="12" t="s">
        <v>1793</v>
      </c>
    </row>
    <row r="725" spans="16:16">
      <c r="P725" s="12" t="s">
        <v>1787</v>
      </c>
    </row>
    <row r="726" spans="16:16">
      <c r="P726" s="12" t="s">
        <v>412</v>
      </c>
    </row>
    <row r="727" spans="16:16">
      <c r="P727" s="12" t="s">
        <v>2509</v>
      </c>
    </row>
    <row r="728" spans="16:16">
      <c r="P728" s="12" t="s">
        <v>1679</v>
      </c>
    </row>
    <row r="729" spans="16:16">
      <c r="P729" s="12" t="s">
        <v>2468</v>
      </c>
    </row>
    <row r="730" spans="16:16">
      <c r="P730" s="12" t="s">
        <v>1403</v>
      </c>
    </row>
    <row r="731" spans="16:16">
      <c r="P731" s="12" t="s">
        <v>1504</v>
      </c>
    </row>
    <row r="732" spans="16:16">
      <c r="P732" s="12" t="s">
        <v>1578</v>
      </c>
    </row>
    <row r="733" spans="16:16">
      <c r="P733" s="12" t="s">
        <v>685</v>
      </c>
    </row>
    <row r="734" spans="16:16">
      <c r="P734" s="12" t="s">
        <v>219</v>
      </c>
    </row>
    <row r="735" spans="16:16">
      <c r="P735" s="12" t="s">
        <v>1828</v>
      </c>
    </row>
    <row r="736" spans="16:16">
      <c r="P736" s="12" t="s">
        <v>1445</v>
      </c>
    </row>
    <row r="737" spans="16:16">
      <c r="P737" s="12" t="s">
        <v>2552</v>
      </c>
    </row>
    <row r="738" spans="16:16">
      <c r="P738" s="12" t="s">
        <v>679</v>
      </c>
    </row>
    <row r="739" spans="16:16">
      <c r="P739" s="12" t="s">
        <v>2166</v>
      </c>
    </row>
    <row r="740" spans="16:16">
      <c r="P740" s="12" t="s">
        <v>1394</v>
      </c>
    </row>
    <row r="741" spans="16:16">
      <c r="P741" s="12" t="s">
        <v>1370</v>
      </c>
    </row>
    <row r="742" spans="16:16">
      <c r="P742" s="12" t="s">
        <v>2023</v>
      </c>
    </row>
    <row r="743" spans="16:16">
      <c r="P743" s="12" t="s">
        <v>562</v>
      </c>
    </row>
    <row r="744" spans="16:16">
      <c r="P744" s="12" t="s">
        <v>1762</v>
      </c>
    </row>
    <row r="745" spans="16:16">
      <c r="P745" s="12" t="s">
        <v>1848</v>
      </c>
    </row>
    <row r="746" spans="16:16">
      <c r="P746" s="12" t="s">
        <v>357</v>
      </c>
    </row>
    <row r="747" spans="16:16">
      <c r="P747" s="12" t="s">
        <v>1373</v>
      </c>
    </row>
    <row r="748" spans="16:16">
      <c r="P748" s="12" t="s">
        <v>1570</v>
      </c>
    </row>
    <row r="749" spans="16:16">
      <c r="P749" s="12" t="s">
        <v>1764</v>
      </c>
    </row>
    <row r="750" spans="16:16">
      <c r="P750" s="12" t="s">
        <v>2192</v>
      </c>
    </row>
    <row r="751" spans="16:16">
      <c r="P751" s="12" t="s">
        <v>855</v>
      </c>
    </row>
    <row r="752" spans="16:16">
      <c r="P752" s="12" t="s">
        <v>1473</v>
      </c>
    </row>
    <row r="753" spans="16:16">
      <c r="P753" s="12" t="s">
        <v>1947</v>
      </c>
    </row>
    <row r="754" spans="16:16">
      <c r="P754" s="12" t="s">
        <v>1729</v>
      </c>
    </row>
    <row r="755" spans="16:16">
      <c r="P755" s="12" t="s">
        <v>96</v>
      </c>
    </row>
    <row r="756" spans="16:16">
      <c r="P756" s="12" t="s">
        <v>2437</v>
      </c>
    </row>
    <row r="757" spans="16:16">
      <c r="P757" s="12" t="s">
        <v>1516</v>
      </c>
    </row>
    <row r="758" spans="16:16">
      <c r="P758" s="12" t="s">
        <v>1284</v>
      </c>
    </row>
    <row r="759" spans="16:16">
      <c r="P759" s="12" t="s">
        <v>124</v>
      </c>
    </row>
    <row r="760" spans="16:16">
      <c r="P760" s="12" t="s">
        <v>2367</v>
      </c>
    </row>
    <row r="761" spans="16:16">
      <c r="P761" s="12" t="s">
        <v>1040</v>
      </c>
    </row>
    <row r="762" spans="16:16">
      <c r="P762" s="12" t="s">
        <v>2387</v>
      </c>
    </row>
    <row r="763" spans="16:16">
      <c r="P763" s="12" t="s">
        <v>1678</v>
      </c>
    </row>
    <row r="764" spans="16:16">
      <c r="P764" s="12" t="s">
        <v>2667</v>
      </c>
    </row>
    <row r="765" spans="16:16">
      <c r="P765" s="12" t="s">
        <v>1815</v>
      </c>
    </row>
    <row r="766" spans="16:16">
      <c r="P766" s="12" t="s">
        <v>1479</v>
      </c>
    </row>
    <row r="767" spans="16:16">
      <c r="P767" s="12" t="s">
        <v>1559</v>
      </c>
    </row>
    <row r="768" spans="16:16">
      <c r="P768" s="12" t="s">
        <v>458</v>
      </c>
    </row>
    <row r="769" spans="16:16">
      <c r="P769" s="12" t="s">
        <v>1933</v>
      </c>
    </row>
    <row r="770" spans="16:16">
      <c r="P770" s="12" t="s">
        <v>1597</v>
      </c>
    </row>
    <row r="771" spans="16:16">
      <c r="P771" s="12" t="s">
        <v>210</v>
      </c>
    </row>
    <row r="772" spans="16:16">
      <c r="P772" s="12" t="s">
        <v>1131</v>
      </c>
    </row>
    <row r="773" spans="16:16">
      <c r="P773" s="12" t="s">
        <v>1079</v>
      </c>
    </row>
    <row r="774" spans="16:16">
      <c r="P774" s="12" t="s">
        <v>431</v>
      </c>
    </row>
    <row r="775" spans="16:16">
      <c r="P775" s="12" t="s">
        <v>1912</v>
      </c>
    </row>
    <row r="776" spans="16:16">
      <c r="P776" s="12" t="s">
        <v>1057</v>
      </c>
    </row>
    <row r="777" spans="16:16">
      <c r="P777" s="12" t="s">
        <v>494</v>
      </c>
    </row>
    <row r="778" spans="16:16">
      <c r="P778" s="12" t="s">
        <v>788</v>
      </c>
    </row>
    <row r="779" spans="16:16">
      <c r="P779" s="12" t="s">
        <v>232</v>
      </c>
    </row>
    <row r="780" spans="16:16">
      <c r="P780" s="12" t="s">
        <v>2147</v>
      </c>
    </row>
    <row r="781" spans="16:16">
      <c r="P781" s="12" t="s">
        <v>2164</v>
      </c>
    </row>
    <row r="782" spans="16:16">
      <c r="P782" s="12" t="s">
        <v>1216</v>
      </c>
    </row>
    <row r="783" spans="16:16">
      <c r="P783" s="12" t="s">
        <v>661</v>
      </c>
    </row>
    <row r="784" spans="16:16">
      <c r="P784" s="12" t="s">
        <v>1095</v>
      </c>
    </row>
    <row r="785" spans="16:16">
      <c r="P785" s="12" t="s">
        <v>1361</v>
      </c>
    </row>
    <row r="786" spans="16:16">
      <c r="P786" s="12" t="s">
        <v>48</v>
      </c>
    </row>
    <row r="787" spans="16:16">
      <c r="P787" s="12" t="s">
        <v>374</v>
      </c>
    </row>
    <row r="788" spans="16:16">
      <c r="P788" s="12" t="s">
        <v>1565</v>
      </c>
    </row>
    <row r="789" spans="16:16">
      <c r="P789" s="12" t="s">
        <v>111</v>
      </c>
    </row>
    <row r="790" spans="16:16">
      <c r="P790" s="12" t="s">
        <v>1893</v>
      </c>
    </row>
    <row r="791" spans="16:16">
      <c r="P791" s="12" t="s">
        <v>1640</v>
      </c>
    </row>
    <row r="792" spans="16:16">
      <c r="P792" s="12" t="s">
        <v>1461</v>
      </c>
    </row>
    <row r="793" spans="16:16">
      <c r="P793" s="12" t="s">
        <v>1185</v>
      </c>
    </row>
    <row r="794" spans="16:16">
      <c r="P794" s="12" t="s">
        <v>2718</v>
      </c>
    </row>
    <row r="795" spans="16:16">
      <c r="P795" s="12" t="s">
        <v>2714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H43" sqref="H43"/>
    </sheetView>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Sheet5</vt:lpstr>
      <vt:lpstr>Pivot tables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DR NIRANJAN</cp:lastModifiedBy>
  <dcterms:created xsi:type="dcterms:W3CDTF">2025-11-07T12:45:26Z</dcterms:created>
  <dcterms:modified xsi:type="dcterms:W3CDTF">2026-03-17T13:30:32Z</dcterms:modified>
</cp:coreProperties>
</file>